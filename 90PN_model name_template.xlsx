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0_工作資料夾\86_Claude\All List\90料號\"/>
    </mc:Choice>
  </mc:AlternateContent>
  <xr:revisionPtr revIDLastSave="0" documentId="13_ncr:1_{76E28861-CF27-4EA2-8214-7E397AA56416}" xr6:coauthVersionLast="47" xr6:coauthVersionMax="47" xr10:uidLastSave="{00000000-0000-0000-0000-000000000000}"/>
  <bookViews>
    <workbookView xWindow="-110" yWindow="-110" windowWidth="29020" windowHeight="17500" tabRatio="693" xr2:uid="{00000000-000D-0000-FFFF-FFFF00000000}"/>
  </bookViews>
  <sheets>
    <sheet name="90編碼原則" sheetId="2" r:id="rId1"/>
    <sheet name="89編碼原則" sheetId="14" state="hidden" r:id="rId2"/>
    <sheet name="80 編碼原則" sheetId="9" r:id="rId3"/>
    <sheet name="90 BOM &amp; Catalog Template" sheetId="10" r:id="rId4"/>
    <sheet name="Assign EMS org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2" l="1"/>
  <c r="C2" i="11" s="1"/>
  <c r="B2" i="10"/>
  <c r="B2" i="11"/>
  <c r="H12" i="14"/>
  <c r="G12" i="14"/>
  <c r="F12" i="14"/>
  <c r="F8" i="9"/>
  <c r="E2" i="10" l="1"/>
  <c r="H8" i="9"/>
  <c r="G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2" authorId="0" shapeId="0" xr:uid="{00000000-0006-0000-0000-000001000000}">
      <text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微軟正黑體"/>
            <family val="2"/>
            <charset val="136"/>
          </rPr>
          <t>雙斜線&lt;//&gt; 左右各只能放30個字元(含空格)</t>
        </r>
      </text>
    </comment>
    <comment ref="E3" authorId="0" shapeId="0" xr:uid="{00000000-0006-0000-0000-000002000000}">
      <text>
        <r>
          <rPr>
            <sz val="11"/>
            <color indexed="81"/>
            <rFont val="微軟正黑體"/>
            <family val="2"/>
            <charset val="136"/>
          </rPr>
          <t>可參考</t>
        </r>
        <r>
          <rPr>
            <sz val="11"/>
            <color indexed="81"/>
            <rFont val="Calibri"/>
            <family val="2"/>
          </rPr>
          <t xml:space="preserve">Sheet </t>
        </r>
        <r>
          <rPr>
            <sz val="11"/>
            <color indexed="81"/>
            <rFont val="微軟正黑體"/>
            <family val="2"/>
            <charset val="136"/>
          </rPr>
          <t>【</t>
        </r>
        <r>
          <rPr>
            <sz val="11"/>
            <color indexed="81"/>
            <rFont val="Calibri"/>
            <family val="2"/>
          </rPr>
          <t>Region &amp; Adapter</t>
        </r>
        <r>
          <rPr>
            <sz val="11"/>
            <color indexed="81"/>
            <rFont val="微軟正黑體"/>
            <family val="2"/>
            <charset val="136"/>
          </rPr>
          <t>】</t>
        </r>
      </text>
    </comment>
    <comment ref="F3" authorId="0" shapeId="0" xr:uid="{00000000-0006-0000-0000-000003000000}">
      <text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</text>
    </comment>
    <comment ref="H3" authorId="0" shapeId="0" xr:uid="{00000000-0006-0000-0000-000004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I3" authorId="0" shapeId="0" xr:uid="{00000000-0006-0000-0000-000005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J3" authorId="0" shapeId="0" xr:uid="{00000000-0006-0000-0000-000006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K3" authorId="0" shapeId="0" xr:uid="{00000000-0006-0000-0000-000007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L3" authorId="0" shapeId="0" xr:uid="{00000000-0006-0000-0000-000008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M3" authorId="0" shapeId="0" xr:uid="{00000000-0006-0000-0000-000009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N3" authorId="0" shapeId="0" xr:uid="{00000000-0006-0000-0000-00000A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O3" authorId="0" shapeId="0" xr:uid="{00000000-0006-0000-0000-00000B000000}">
      <text>
        <r>
          <rPr>
            <b/>
            <sz val="16"/>
            <color indexed="81"/>
            <rFont val="Calibri"/>
            <family val="2"/>
          </rPr>
          <t>Channel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0 : Default
A : for Amazon
B : for BBY
W: for Walmart
</t>
        </r>
        <r>
          <rPr>
            <strike/>
            <sz val="12"/>
            <color indexed="81"/>
            <rFont val="Calibri"/>
            <family val="2"/>
          </rPr>
          <t xml:space="preserve">1-9 : </t>
        </r>
        <r>
          <rPr>
            <strike/>
            <sz val="12"/>
            <color indexed="81"/>
            <rFont val="微軟正黑體"/>
            <family val="2"/>
            <charset val="136"/>
          </rPr>
          <t>表示產品版本</t>
        </r>
        <r>
          <rPr>
            <sz val="12"/>
            <color indexed="81"/>
            <rFont val="微軟正黑體"/>
            <family val="2"/>
            <charset val="136"/>
          </rPr>
          <t xml:space="preserve">
        </t>
        </r>
        <r>
          <rPr>
            <sz val="12"/>
            <color indexed="81"/>
            <rFont val="Calibri"/>
            <family val="2"/>
          </rPr>
          <t xml:space="preserve">(2021/04 </t>
        </r>
        <r>
          <rPr>
            <sz val="12"/>
            <color indexed="81"/>
            <rFont val="微軟正黑體"/>
            <family val="2"/>
            <charset val="136"/>
          </rPr>
          <t>停止使用版本標示</t>
        </r>
        <r>
          <rPr>
            <sz val="12"/>
            <color indexed="81"/>
            <rFont val="Calibri"/>
            <family val="2"/>
          </rPr>
          <t>)</t>
        </r>
        <r>
          <rPr>
            <sz val="11"/>
            <color indexed="81"/>
            <rFont val="微軟正黑體"/>
            <family val="2"/>
            <charset val="136"/>
          </rPr>
          <t xml:space="preserve">
</t>
        </r>
      </text>
    </comment>
    <comment ref="Q3" authorId="0" shapeId="0" xr:uid="{00000000-0006-0000-0000-00000C000000}">
      <text>
        <r>
          <rPr>
            <b/>
            <sz val="16"/>
            <color indexed="81"/>
            <rFont val="微軟正黑體"/>
            <family val="2"/>
            <charset val="136"/>
          </rPr>
          <t>屬性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>M :  MP (Defult)
P: Spare Parts</t>
        </r>
      </text>
    </comment>
    <comment ref="R3" authorId="0" shapeId="0" xr:uid="{00000000-0006-0000-0000-00000D000000}">
      <text>
        <r>
          <rPr>
            <b/>
            <sz val="16"/>
            <color indexed="81"/>
            <rFont val="Calibri"/>
            <family val="2"/>
          </rPr>
          <t>Region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>0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DUMMY
A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US
B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Mexico
C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China
E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Iran/Egypt/Tailand/India/Indonesia/Bangladesh/Pakistan
F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 xml:space="preserve">APAC Universal (2.4G Channel 11)
</t>
        </r>
        <r>
          <rPr>
            <strike/>
            <sz val="13"/>
            <color indexed="81"/>
            <rFont val="Calibri"/>
            <family val="2"/>
          </rPr>
          <t>G</t>
        </r>
        <r>
          <rPr>
            <strike/>
            <sz val="13"/>
            <color indexed="81"/>
            <rFont val="新細明體"/>
            <family val="1"/>
            <charset val="136"/>
          </rPr>
          <t>：</t>
        </r>
        <r>
          <rPr>
            <strike/>
            <sz val="13"/>
            <color indexed="81"/>
            <rFont val="Calibri"/>
            <family val="2"/>
          </rPr>
          <t>APAC Universal (2.4G Channel 13)</t>
        </r>
        <r>
          <rPr>
            <sz val="13"/>
            <color indexed="15"/>
            <rFont val="Calibri"/>
            <family val="2"/>
          </rPr>
          <t xml:space="preserve"> </t>
        </r>
        <r>
          <rPr>
            <sz val="13"/>
            <color indexed="53"/>
            <rFont val="Calibri"/>
            <family val="2"/>
          </rPr>
          <t>2024.09</t>
        </r>
        <r>
          <rPr>
            <sz val="13"/>
            <color indexed="53"/>
            <rFont val="微軟正黑體"/>
            <family val="2"/>
            <charset val="136"/>
          </rPr>
          <t>取消</t>
        </r>
        <r>
          <rPr>
            <sz val="13"/>
            <color indexed="81"/>
            <rFont val="Calibri"/>
            <family val="2"/>
          </rPr>
          <t xml:space="preserve">
H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HongKong
I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India
J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Japan 
L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Israel
K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Korea
M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Western Europe/Eastern Europe/South Africa
N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Eastern Europe
O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Europe
P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Argentina
R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Russia
S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Singapore/Malaysia
T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Taiwan
U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UK
W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Worldwide
X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>Canada
Y</t>
        </r>
        <r>
          <rPr>
            <sz val="13"/>
            <color indexed="81"/>
            <rFont val="微軟正黑體"/>
            <family val="2"/>
            <charset val="136"/>
          </rPr>
          <t>：</t>
        </r>
        <r>
          <rPr>
            <sz val="13"/>
            <color indexed="81"/>
            <rFont val="Calibri"/>
            <family val="2"/>
          </rPr>
          <t xml:space="preserve">Brazil
</t>
        </r>
        <r>
          <rPr>
            <strike/>
            <sz val="13"/>
            <color indexed="81"/>
            <rFont val="Calibri"/>
            <family val="2"/>
          </rPr>
          <t>Z</t>
        </r>
        <r>
          <rPr>
            <strike/>
            <sz val="13"/>
            <color indexed="81"/>
            <rFont val="微軟正黑體"/>
            <family val="2"/>
            <charset val="136"/>
          </rPr>
          <t>：</t>
        </r>
        <r>
          <rPr>
            <strike/>
            <sz val="13"/>
            <color indexed="81"/>
            <rFont val="Calibri"/>
            <family val="2"/>
          </rPr>
          <t xml:space="preserve">Australia/New Zealand </t>
        </r>
        <r>
          <rPr>
            <sz val="13"/>
            <color indexed="81"/>
            <rFont val="Calibri"/>
            <family val="2"/>
          </rPr>
          <t xml:space="preserve"> </t>
        </r>
        <r>
          <rPr>
            <sz val="13"/>
            <color indexed="53"/>
            <rFont val="Calibri"/>
            <family val="2"/>
          </rPr>
          <t>2024.09</t>
        </r>
        <r>
          <rPr>
            <sz val="13"/>
            <color indexed="53"/>
            <rFont val="微軟正黑體"/>
            <family val="2"/>
            <charset val="136"/>
          </rPr>
          <t>取消</t>
        </r>
      </text>
    </comment>
    <comment ref="S3" authorId="0" shapeId="0" xr:uid="{00000000-0006-0000-0000-00000E000000}">
      <text>
        <r>
          <rPr>
            <b/>
            <sz val="16"/>
            <color indexed="81"/>
            <rFont val="Calibri"/>
            <family val="2"/>
          </rPr>
          <t xml:space="preserve">Adapter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Region &amp; Adapter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Calibri"/>
            <family val="2"/>
          </rPr>
          <t xml:space="preserve">
</t>
        </r>
        <r>
          <rPr>
            <b/>
            <sz val="13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 xml:space="preserve">0 : DUMMY
1 : US (TWN)
2 : UK (UK, APAC UK)
3 : EU (EU, APAC EU)
4 : Korea
5 : China
6 : Japan
7 : Australia
8 : Brazil
9 : EU Universal (EU+UK)
A : APAC Universal (EU+UK+AU)
B : Argentina
C : India </t>
        </r>
      </text>
    </comment>
    <comment ref="T3" authorId="0" shapeId="0" xr:uid="{00000000-0006-0000-0000-00000F000000}">
      <text>
        <r>
          <rPr>
            <b/>
            <sz val="16"/>
            <color indexed="81"/>
            <rFont val="微軟正黑體"/>
            <family val="2"/>
            <charset val="136"/>
          </rPr>
          <t xml:space="preserve">外包商代碼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 xml:space="preserve">A :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
B :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
C :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 xml:space="preserve">共進
</t>
        </r>
        <r>
          <rPr>
            <sz val="13"/>
            <color indexed="81"/>
            <rFont val="Calibri"/>
            <family val="2"/>
          </rPr>
          <t xml:space="preserve">D :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
E  : </t>
        </r>
        <r>
          <rPr>
            <sz val="13"/>
            <color indexed="81"/>
            <rFont val="微軟正黑體"/>
            <family val="2"/>
            <charset val="136"/>
          </rPr>
          <t xml:space="preserve">金磚
</t>
        </r>
        <r>
          <rPr>
            <sz val="13"/>
            <color indexed="81"/>
            <rFont val="Calibri"/>
            <family val="2"/>
          </rPr>
          <t xml:space="preserve">F  : </t>
        </r>
        <r>
          <rPr>
            <sz val="13"/>
            <color indexed="81"/>
            <rFont val="微軟正黑體"/>
            <family val="2"/>
            <charset val="136"/>
          </rPr>
          <t xml:space="preserve">啟碁
</t>
        </r>
        <r>
          <rPr>
            <sz val="13"/>
            <color indexed="81"/>
            <rFont val="Calibri"/>
            <family val="2"/>
          </rPr>
          <t xml:space="preserve">G : </t>
        </r>
        <r>
          <rPr>
            <sz val="13"/>
            <color indexed="81"/>
            <rFont val="微軟正黑體"/>
            <family val="2"/>
            <charset val="136"/>
          </rPr>
          <t xml:space="preserve">晶訊
</t>
        </r>
        <r>
          <rPr>
            <sz val="13"/>
            <color indexed="81"/>
            <rFont val="Calibri"/>
            <family val="2"/>
          </rPr>
          <t xml:space="preserve">H : </t>
        </r>
        <r>
          <rPr>
            <sz val="13"/>
            <color indexed="81"/>
            <rFont val="微軟正黑體"/>
            <family val="2"/>
            <charset val="136"/>
          </rPr>
          <t xml:space="preserve">世紀本原
</t>
        </r>
        <r>
          <rPr>
            <sz val="13"/>
            <color indexed="81"/>
            <rFont val="Calibri"/>
            <family val="2"/>
          </rPr>
          <t xml:space="preserve">I   : 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不使用，因為與數字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相似</t>
        </r>
        <r>
          <rPr>
            <sz val="12"/>
            <color indexed="81"/>
            <rFont val="Calibri"/>
            <family val="2"/>
          </rPr>
          <t>)</t>
        </r>
        <r>
          <rPr>
            <sz val="13"/>
            <color indexed="81"/>
            <rFont val="Calibri"/>
            <family val="2"/>
          </rPr>
          <t xml:space="preserve">
J   : </t>
        </r>
        <r>
          <rPr>
            <sz val="13"/>
            <color indexed="81"/>
            <rFont val="微軟正黑體"/>
            <family val="2"/>
            <charset val="136"/>
          </rPr>
          <t xml:space="preserve">華芸
</t>
        </r>
        <r>
          <rPr>
            <sz val="13"/>
            <color indexed="81"/>
            <rFont val="Calibri"/>
            <family val="2"/>
          </rPr>
          <t xml:space="preserve">K  : </t>
        </r>
        <r>
          <rPr>
            <sz val="13"/>
            <color indexed="81"/>
            <rFont val="微軟正黑體"/>
            <family val="2"/>
            <charset val="136"/>
          </rPr>
          <t xml:space="preserve">品威
</t>
        </r>
        <r>
          <rPr>
            <sz val="13"/>
            <color indexed="81"/>
            <rFont val="Calibri"/>
            <family val="2"/>
          </rPr>
          <t xml:space="preserve">L   : </t>
        </r>
        <r>
          <rPr>
            <sz val="13"/>
            <color indexed="81"/>
            <rFont val="微軟正黑體"/>
            <family val="2"/>
            <charset val="136"/>
          </rPr>
          <t>東碩</t>
        </r>
        <r>
          <rPr>
            <sz val="13"/>
            <color indexed="81"/>
            <rFont val="Calibri"/>
            <family val="2"/>
          </rPr>
          <t xml:space="preserve">
M : </t>
        </r>
        <r>
          <rPr>
            <sz val="13"/>
            <color indexed="81"/>
            <rFont val="微軟正黑體"/>
            <family val="2"/>
            <charset val="136"/>
          </rPr>
          <t>康全</t>
        </r>
        <r>
          <rPr>
            <sz val="13"/>
            <color indexed="81"/>
            <rFont val="Calibri"/>
            <family val="2"/>
          </rPr>
          <t xml:space="preserve">
N  :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 xml:space="preserve">
O  :</t>
        </r>
        <r>
          <rPr>
            <sz val="14"/>
            <color indexed="81"/>
            <rFont val="Calibri"/>
            <family val="2"/>
          </rPr>
          <t xml:space="preserve"> 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不使用，因為與數字</t>
        </r>
        <r>
          <rPr>
            <sz val="12"/>
            <color indexed="81"/>
            <rFont val="Calibri"/>
            <family val="2"/>
          </rPr>
          <t>0</t>
        </r>
        <r>
          <rPr>
            <sz val="12"/>
            <color indexed="81"/>
            <rFont val="微軟正黑體"/>
            <family val="2"/>
            <charset val="136"/>
          </rPr>
          <t>相似</t>
        </r>
        <r>
          <rPr>
            <sz val="12"/>
            <color indexed="81"/>
            <rFont val="Calibri"/>
            <family val="2"/>
          </rPr>
          <t>)</t>
        </r>
        <r>
          <rPr>
            <sz val="13"/>
            <color indexed="81"/>
            <rFont val="Calibri"/>
            <family val="2"/>
          </rPr>
          <t xml:space="preserve">
P  : </t>
        </r>
        <r>
          <rPr>
            <sz val="13"/>
            <color indexed="81"/>
            <rFont val="微軟正黑體"/>
            <family val="2"/>
            <charset val="136"/>
          </rPr>
          <t>微網優聯</t>
        </r>
        <r>
          <rPr>
            <sz val="13"/>
            <color indexed="81"/>
            <rFont val="Calibri"/>
            <family val="2"/>
          </rPr>
          <t xml:space="preserve">
Q  : </t>
        </r>
        <r>
          <rPr>
            <sz val="13"/>
            <color indexed="81"/>
            <rFont val="微軟正黑體"/>
            <family val="2"/>
            <charset val="136"/>
          </rPr>
          <t>微網力合</t>
        </r>
        <r>
          <rPr>
            <sz val="13"/>
            <color indexed="81"/>
            <rFont val="Calibri"/>
            <family val="2"/>
          </rPr>
          <t xml:space="preserve">
R   : </t>
        </r>
        <r>
          <rPr>
            <sz val="13"/>
            <color indexed="81"/>
            <rFont val="微軟正黑體"/>
            <family val="2"/>
            <charset val="136"/>
          </rPr>
          <t>偉迪</t>
        </r>
        <r>
          <rPr>
            <sz val="13"/>
            <color indexed="81"/>
            <rFont val="Calibri"/>
            <family val="2"/>
          </rPr>
          <t xml:space="preserve">
S   :
T   :
U  :
V  :
W :
X :
Y :
Z :
</t>
        </r>
      </text>
    </comment>
    <comment ref="U3" authorId="0" shapeId="0" xr:uid="{00000000-0006-0000-0000-000010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  <comment ref="V3" authorId="0" shapeId="0" xr:uid="{00000000-0006-0000-0000-000011000000}">
      <text>
        <r>
          <rPr>
            <b/>
            <sz val="16"/>
            <color indexed="81"/>
            <rFont val="微軟正黑體"/>
            <family val="2"/>
            <charset val="136"/>
          </rPr>
          <t>保留碼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0 : Defult </t>
        </r>
        <r>
          <rPr>
            <sz val="13"/>
            <color indexed="81"/>
            <rFont val="微軟正黑體"/>
            <family val="2"/>
            <charset val="136"/>
          </rPr>
          <t>中國生產 MIC</t>
        </r>
        <r>
          <rPr>
            <sz val="13"/>
            <color indexed="81"/>
            <rFont val="Calibri"/>
            <family val="2"/>
          </rPr>
          <t xml:space="preserve">
1 : </t>
        </r>
        <r>
          <rPr>
            <strike/>
            <sz val="13"/>
            <color indexed="81"/>
            <rFont val="微軟正黑體"/>
            <family val="2"/>
            <charset val="136"/>
          </rPr>
          <t>母機</t>
        </r>
        <r>
          <rPr>
            <strike/>
            <sz val="13"/>
            <color indexed="81"/>
            <rFont val="Calibri"/>
            <family val="2"/>
          </rPr>
          <t>/Router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停止使用</t>
        </r>
        <r>
          <rPr>
            <sz val="13"/>
            <color indexed="81"/>
            <rFont val="Calibri"/>
            <family val="2"/>
          </rPr>
          <t xml:space="preserve">)
2 : </t>
        </r>
        <r>
          <rPr>
            <strike/>
            <sz val="13"/>
            <color indexed="81"/>
            <rFont val="微軟正黑體"/>
            <family val="2"/>
            <charset val="136"/>
          </rPr>
          <t>子機</t>
        </r>
        <r>
          <rPr>
            <strike/>
            <sz val="13"/>
            <color indexed="81"/>
            <rFont val="Calibri"/>
            <family val="2"/>
          </rPr>
          <t xml:space="preserve">/Node </t>
        </r>
        <r>
          <rPr>
            <sz val="13"/>
            <color indexed="81"/>
            <rFont val="Calibri"/>
            <family val="2"/>
          </rPr>
          <t>(</t>
        </r>
        <r>
          <rPr>
            <sz val="13"/>
            <color indexed="81"/>
            <rFont val="微軟正黑體"/>
            <family val="2"/>
            <charset val="136"/>
          </rPr>
          <t>停止使用</t>
        </r>
        <r>
          <rPr>
            <sz val="13"/>
            <color indexed="81"/>
            <rFont val="Calibri"/>
            <family val="2"/>
          </rPr>
          <t xml:space="preserve">)
9 : </t>
        </r>
        <r>
          <rPr>
            <sz val="13"/>
            <color indexed="81"/>
            <rFont val="微軟正黑體"/>
            <family val="2"/>
            <charset val="136"/>
          </rPr>
          <t>福利品</t>
        </r>
        <r>
          <rPr>
            <sz val="13"/>
            <color indexed="81"/>
            <rFont val="Calibri"/>
            <family val="2"/>
          </rPr>
          <t xml:space="preserve"> Refurbish</t>
        </r>
        <r>
          <rPr>
            <sz val="13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C : For CSC (For </t>
        </r>
        <r>
          <rPr>
            <sz val="13"/>
            <color indexed="81"/>
            <rFont val="微軟正黑體"/>
            <family val="2"/>
            <charset val="136"/>
          </rPr>
          <t>客服入賬使用</t>
        </r>
        <r>
          <rPr>
            <sz val="13"/>
            <color indexed="81"/>
            <rFont val="Calibri"/>
            <family val="2"/>
          </rPr>
          <t xml:space="preserve">)
S : For </t>
        </r>
        <r>
          <rPr>
            <sz val="13"/>
            <color indexed="81"/>
            <rFont val="微軟正黑體"/>
            <family val="2"/>
            <charset val="136"/>
          </rPr>
          <t>參展樣品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限</t>
        </r>
        <r>
          <rPr>
            <sz val="13"/>
            <color indexed="81"/>
            <rFont val="Calibri"/>
            <family val="2"/>
          </rPr>
          <t>NPI</t>
        </r>
        <r>
          <rPr>
            <sz val="13"/>
            <color indexed="81"/>
            <rFont val="微軟正黑體"/>
            <family val="2"/>
            <charset val="136"/>
          </rPr>
          <t>機種使用</t>
        </r>
        <r>
          <rPr>
            <sz val="13"/>
            <color indexed="81"/>
            <rFont val="Calibri"/>
            <family val="2"/>
          </rPr>
          <t xml:space="preserve">)
T : </t>
        </r>
        <r>
          <rPr>
            <sz val="13"/>
            <color indexed="81"/>
            <rFont val="微軟正黑體"/>
            <family val="2"/>
            <charset val="136"/>
          </rPr>
          <t xml:space="preserve">台灣生產 MIT
</t>
        </r>
        <r>
          <rPr>
            <sz val="13"/>
            <color indexed="81"/>
            <rFont val="Calibri"/>
            <family val="2"/>
          </rPr>
          <t xml:space="preserve">V : </t>
        </r>
        <r>
          <rPr>
            <sz val="13"/>
            <color indexed="81"/>
            <rFont val="微軟正黑體"/>
            <family val="2"/>
            <charset val="136"/>
          </rPr>
          <t>越南生產 MIV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B10" authorId="0" shapeId="0" xr:uid="{00000000-0006-0000-0100-000002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C10" authorId="0" shapeId="0" xr:uid="{00000000-0006-0000-0100-000003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D10" authorId="0" shapeId="0" xr:uid="{00000000-0006-0000-0100-000004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E10" authorId="0" shapeId="0" xr:uid="{00000000-0006-0000-0100-000005000000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F10" authorId="0" shapeId="0" xr:uid="{00000000-0006-0000-0100-000006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G10" authorId="0" shapeId="0" xr:uid="{00000000-0006-0000-0100-000007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H10" authorId="0" shapeId="0" xr:uid="{00000000-0006-0000-0100-000008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I10" authorId="0" shapeId="0" xr:uid="{248E005B-F9C1-453E-B266-EB965C665FDC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K10" authorId="0" shapeId="0" xr:uid="{90919ED7-ECB1-4D77-8AAB-C85A023F8F71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L10" authorId="0" shapeId="0" xr:uid="{99522D14-6DEA-468D-B807-13ED077108A5}">
      <text>
        <r>
          <rPr>
            <sz val="12"/>
            <color indexed="81"/>
            <rFont val="微軟正黑體"/>
            <family val="2"/>
            <charset val="136"/>
          </rPr>
          <t>固定不變</t>
        </r>
      </text>
    </comment>
    <comment ref="M10" authorId="0" shapeId="0" xr:uid="{578F15C8-2783-4EB3-8130-54BDA4BE53C0}">
      <text>
        <r>
          <rPr>
            <b/>
            <sz val="16"/>
            <color indexed="81"/>
            <rFont val="Calibri"/>
            <family val="2"/>
          </rPr>
          <t xml:space="preserve">Region
</t>
        </r>
        <r>
          <rPr>
            <b/>
            <sz val="16"/>
            <color indexed="81"/>
            <rFont val="微軟正黑體"/>
            <family val="2"/>
            <charset val="136"/>
          </rPr>
          <t>與</t>
        </r>
        <r>
          <rPr>
            <b/>
            <sz val="16"/>
            <color indexed="81"/>
            <rFont val="Calibri"/>
            <family val="2"/>
          </rPr>
          <t>90</t>
        </r>
        <r>
          <rPr>
            <b/>
            <sz val="16"/>
            <color indexed="81"/>
            <rFont val="微軟正黑體"/>
            <family val="2"/>
            <charset val="136"/>
          </rPr>
          <t>料號的</t>
        </r>
        <r>
          <rPr>
            <b/>
            <sz val="16"/>
            <color indexed="81"/>
            <rFont val="Calibri"/>
            <family val="2"/>
          </rPr>
          <t>Region</t>
        </r>
        <r>
          <rPr>
            <b/>
            <sz val="16"/>
            <color indexed="81"/>
            <rFont val="微軟正黑體"/>
            <family val="2"/>
            <charset val="136"/>
          </rPr>
          <t>相同</t>
        </r>
        <r>
          <rPr>
            <b/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細明體"/>
            <family val="3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>0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DUMMY
A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US
C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China
E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Iran/Egypt/Tailand/India/Indonesia/Bangladesh/Pakistan
F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APAC Universal (2.4G Channel 11)
G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APAC Universal (2.4G Channel 13)
H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HongKong
I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India
J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Japan 
L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Israel
K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Korea
M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Western Europe/Eastern Europe/South Africa
N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Eastern Europe
O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Europe
P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Argentina
R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Russia
S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Singapore/Malaysia
T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Taiwan
U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UK
W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Worldwide
X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Canada
Y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Brazil
Z</t>
        </r>
        <r>
          <rPr>
            <sz val="13"/>
            <color indexed="81"/>
            <rFont val="細明體"/>
            <family val="3"/>
            <charset val="136"/>
          </rPr>
          <t>：</t>
        </r>
        <r>
          <rPr>
            <sz val="13"/>
            <color indexed="81"/>
            <rFont val="Calibri"/>
            <family val="2"/>
          </rPr>
          <t>Australia/New Zealand</t>
        </r>
      </text>
    </comment>
    <comment ref="O10" authorId="0" shapeId="0" xr:uid="{00000000-0006-0000-0100-00000C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6" authorId="0" shapeId="0" xr:uid="{00000000-0006-0000-0200-000001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(1/3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G6" authorId="0" shapeId="0" xr:uid="{00000000-0006-0000-0200-000002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(2/3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H6" authorId="0" shapeId="0" xr:uid="{00000000-0006-0000-0200-000003000000}">
      <text>
        <r>
          <rPr>
            <sz val="11"/>
            <color indexed="81"/>
            <rFont val="Calibri"/>
            <family val="2"/>
          </rPr>
          <t xml:space="preserve"> PLM</t>
        </r>
        <r>
          <rPr>
            <sz val="11"/>
            <color indexed="81"/>
            <rFont val="微軟正黑體"/>
            <family val="2"/>
            <charset val="136"/>
          </rPr>
          <t>系統</t>
        </r>
        <r>
          <rPr>
            <sz val="11"/>
            <color indexed="81"/>
            <rFont val="Calibri"/>
            <family val="2"/>
          </rPr>
          <t xml:space="preserve"> Project Code (3/3</t>
        </r>
        <r>
          <rPr>
            <sz val="11"/>
            <color indexed="81"/>
            <rFont val="微軟正黑體"/>
            <family val="2"/>
            <charset val="136"/>
          </rPr>
          <t>碼</t>
        </r>
        <r>
          <rPr>
            <sz val="11"/>
            <color indexed="81"/>
            <rFont val="Calibri"/>
            <family val="2"/>
          </rPr>
          <t>)</t>
        </r>
      </text>
    </comment>
    <comment ref="I6" authorId="0" shapeId="0" xr:uid="{00000000-0006-0000-0200-000004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2"/>
            <color indexed="81"/>
            <rFont val="微軟正黑體"/>
            <family val="2"/>
            <charset val="136"/>
          </rPr>
          <t>: 不分色</t>
        </r>
        <r>
          <rPr>
            <b/>
            <sz val="13"/>
            <color indexed="81"/>
            <rFont val="Calibri"/>
            <family val="2"/>
          </rPr>
          <t xml:space="preserve">
 B</t>
        </r>
        <r>
          <rPr>
            <sz val="12"/>
            <color indexed="81"/>
            <rFont val="Calibri"/>
            <family val="2"/>
          </rPr>
          <t xml:space="preserve">: Black
 </t>
        </r>
        <r>
          <rPr>
            <b/>
            <sz val="13"/>
            <color indexed="81"/>
            <rFont val="Calibri"/>
            <family val="2"/>
          </rPr>
          <t>W</t>
        </r>
        <r>
          <rPr>
            <sz val="12"/>
            <color indexed="81"/>
            <rFont val="Calibri"/>
            <family val="2"/>
          </rPr>
          <t>: White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K6" authorId="0" shapeId="0" xr:uid="{00000000-0006-0000-0200-000005000000}">
      <text>
        <r>
          <rPr>
            <b/>
            <sz val="13"/>
            <color indexed="81"/>
            <rFont val="Calibri"/>
            <family val="2"/>
          </rPr>
          <t>M</t>
        </r>
        <r>
          <rPr>
            <sz val="12"/>
            <color indexed="81"/>
            <rFont val="Calibri"/>
            <family val="2"/>
          </rPr>
          <t xml:space="preserve"> : Defult</t>
        </r>
      </text>
    </comment>
    <comment ref="L6" authorId="0" shapeId="0" xr:uid="{00000000-0006-0000-0200-000006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All sku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 (Default)
 </t>
        </r>
        <r>
          <rPr>
            <b/>
            <sz val="13"/>
            <color indexed="81"/>
            <rFont val="Calibri"/>
            <family val="2"/>
          </rPr>
          <t>A</t>
        </r>
        <r>
          <rPr>
            <sz val="12"/>
            <color indexed="81"/>
            <rFont val="Calibri"/>
            <family val="2"/>
          </rPr>
          <t xml:space="preserve">: PCBA_US
 </t>
        </r>
        <r>
          <rPr>
            <b/>
            <sz val="13"/>
            <color indexed="81"/>
            <rFont val="Calibri"/>
            <family val="2"/>
          </rPr>
          <t>B</t>
        </r>
        <r>
          <rPr>
            <sz val="12"/>
            <color indexed="81"/>
            <rFont val="Calibri"/>
            <family val="2"/>
          </rPr>
          <t>: PCBA_EU</t>
        </r>
        <r>
          <rPr>
            <sz val="13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 </t>
        </r>
        <r>
          <rPr>
            <b/>
            <sz val="13"/>
            <color indexed="81"/>
            <rFont val="Calibri"/>
            <family val="2"/>
          </rPr>
          <t>E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 xml:space="preserve">EPA 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I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IPA</t>
        </r>
      </text>
    </comment>
    <comment ref="M6" authorId="0" shapeId="0" xr:uid="{00000000-0006-0000-0200-000007000000}">
      <text>
        <r>
          <rPr>
            <b/>
            <sz val="13"/>
            <color indexed="81"/>
            <rFont val="Calibri"/>
            <family val="2"/>
          </rPr>
          <t xml:space="preserve"> 0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不分子母機的機種</t>
        </r>
        <r>
          <rPr>
            <sz val="12"/>
            <color indexed="81"/>
            <rFont val="Calibri"/>
            <family val="2"/>
          </rPr>
          <t>(</t>
        </r>
        <r>
          <rPr>
            <sz val="12"/>
            <color indexed="81"/>
            <rFont val="微軟正黑體"/>
            <family val="2"/>
            <charset val="136"/>
          </rPr>
          <t>一般</t>
        </r>
        <r>
          <rPr>
            <sz val="12"/>
            <color indexed="81"/>
            <rFont val="Calibri"/>
            <family val="2"/>
          </rPr>
          <t>Router/PCE/USB</t>
        </r>
        <r>
          <rPr>
            <sz val="12"/>
            <color indexed="81"/>
            <rFont val="微軟正黑體"/>
            <family val="2"/>
            <charset val="136"/>
          </rPr>
          <t>等</t>
        </r>
        <r>
          <rPr>
            <sz val="12"/>
            <color indexed="81"/>
            <rFont val="Calibri"/>
            <family val="2"/>
          </rPr>
          <t xml:space="preserve">) 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R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子母機的</t>
        </r>
        <r>
          <rPr>
            <sz val="12"/>
            <color indexed="81"/>
            <rFont val="Calibri"/>
            <family val="2"/>
          </rPr>
          <t>Router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N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微軟正黑體"/>
            <family val="2"/>
            <charset val="136"/>
          </rPr>
          <t>子母機的</t>
        </r>
        <r>
          <rPr>
            <sz val="12"/>
            <color indexed="81"/>
            <rFont val="Calibri"/>
            <family val="2"/>
          </rPr>
          <t>Node</t>
        </r>
      </text>
    </comment>
    <comment ref="N6" authorId="0" shapeId="0" xr:uid="{00000000-0006-0000-0200-000008000000}">
      <text>
        <r>
          <rPr>
            <b/>
            <sz val="13"/>
            <color indexed="81"/>
            <rFont val="Calibri"/>
            <family val="2"/>
          </rPr>
          <t xml:space="preserve"> 1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1pk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2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2pk</t>
        </r>
        <r>
          <rPr>
            <sz val="13"/>
            <color indexed="81"/>
            <rFont val="Calibri"/>
            <family val="2"/>
          </rPr>
          <t xml:space="preserve">
 </t>
        </r>
        <r>
          <rPr>
            <b/>
            <sz val="13"/>
            <color indexed="81"/>
            <rFont val="Calibri"/>
            <family val="2"/>
          </rPr>
          <t>3</t>
        </r>
        <r>
          <rPr>
            <sz val="13"/>
            <color indexed="81"/>
            <rFont val="Calibri"/>
            <family val="2"/>
          </rPr>
          <t xml:space="preserve">: </t>
        </r>
        <r>
          <rPr>
            <sz val="12"/>
            <color indexed="81"/>
            <rFont val="Calibri"/>
            <family val="2"/>
          </rPr>
          <t>3pk</t>
        </r>
      </text>
    </comment>
    <comment ref="O6" authorId="0" shapeId="0" xr:uid="{00000000-0006-0000-0200-000009000000}">
      <text>
        <r>
          <rPr>
            <sz val="13"/>
            <color indexed="81"/>
            <rFont val="微軟正黑體"/>
            <family val="2"/>
            <charset val="136"/>
          </rPr>
          <t>可使用</t>
        </r>
        <r>
          <rPr>
            <sz val="13"/>
            <color indexed="81"/>
            <rFont val="Calibri"/>
            <family val="2"/>
          </rPr>
          <t>0~9</t>
        </r>
        <r>
          <rPr>
            <sz val="13"/>
            <color indexed="81"/>
            <rFont val="微軟正黑體"/>
            <family val="2"/>
            <charset val="136"/>
          </rPr>
          <t>、</t>
        </r>
        <r>
          <rPr>
            <sz val="13"/>
            <color indexed="81"/>
            <rFont val="Calibri"/>
            <family val="2"/>
          </rPr>
          <t>A~Z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F1" authorId="0" shapeId="0" xr:uid="{00000000-0006-0000-0300-000001000000}">
      <text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填入</t>
        </r>
        <r>
          <rPr>
            <sz val="12"/>
            <color indexed="81"/>
            <rFont val="Calibri"/>
            <family val="2"/>
          </rPr>
          <t>90</t>
        </r>
        <r>
          <rPr>
            <sz val="12"/>
            <color indexed="81"/>
            <rFont val="微軟正黑體"/>
            <family val="2"/>
            <charset val="136"/>
          </rPr>
          <t>料號所對應的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
一般只有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All sku
EPA / IPA </t>
        </r>
        <r>
          <rPr>
            <sz val="12"/>
            <color indexed="81"/>
            <rFont val="微軟正黑體"/>
            <family val="2"/>
            <charset val="136"/>
          </rPr>
          <t>或是</t>
        </r>
        <r>
          <rPr>
            <sz val="12"/>
            <color indexed="81"/>
            <rFont val="Calibri"/>
            <family val="2"/>
          </rPr>
          <t xml:space="preserve">PCBA_US / PCBA_EU
</t>
        </r>
        <r>
          <rPr>
            <sz val="12"/>
            <color indexed="81"/>
            <rFont val="微軟正黑體"/>
            <family val="2"/>
            <charset val="136"/>
          </rPr>
          <t>需分開</t>
        </r>
        <r>
          <rPr>
            <sz val="12"/>
            <color indexed="81"/>
            <rFont val="Calibri"/>
            <family val="2"/>
          </rPr>
          <t>2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
Mesh</t>
        </r>
        <r>
          <rPr>
            <sz val="12"/>
            <color indexed="81"/>
            <rFont val="微軟正黑體"/>
            <family val="2"/>
            <charset val="136"/>
          </rPr>
          <t>機種，依需求設定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</t>
        </r>
      </text>
    </comment>
    <comment ref="I1" authorId="0" shapeId="0" xr:uid="{00000000-0006-0000-0300-000002000000}">
      <text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填入</t>
        </r>
        <r>
          <rPr>
            <sz val="12"/>
            <color indexed="81"/>
            <rFont val="Calibri"/>
            <family val="2"/>
          </rPr>
          <t>90</t>
        </r>
        <r>
          <rPr>
            <sz val="12"/>
            <color indexed="81"/>
            <rFont val="微軟正黑體"/>
            <family val="2"/>
            <charset val="136"/>
          </rPr>
          <t>料號所對應的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
一般只有</t>
        </r>
        <r>
          <rPr>
            <sz val="12"/>
            <color indexed="81"/>
            <rFont val="Calibri"/>
            <family val="2"/>
          </rPr>
          <t>1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通用</t>
        </r>
        <r>
          <rPr>
            <sz val="12"/>
            <color indexed="81"/>
            <rFont val="Calibri"/>
            <family val="2"/>
          </rPr>
          <t xml:space="preserve">All sku
EPA / IPA </t>
        </r>
        <r>
          <rPr>
            <sz val="12"/>
            <color indexed="81"/>
            <rFont val="微軟正黑體"/>
            <family val="2"/>
            <charset val="136"/>
          </rPr>
          <t>或是</t>
        </r>
        <r>
          <rPr>
            <sz val="12"/>
            <color indexed="81"/>
            <rFont val="Calibri"/>
            <family val="2"/>
          </rPr>
          <t xml:space="preserve">PCBA_US / PCBA_EU
</t>
        </r>
        <r>
          <rPr>
            <sz val="12"/>
            <color indexed="81"/>
            <rFont val="微軟正黑體"/>
            <family val="2"/>
            <charset val="136"/>
          </rPr>
          <t>需分開</t>
        </r>
        <r>
          <rPr>
            <sz val="12"/>
            <color indexed="81"/>
            <rFont val="Calibri"/>
            <family val="2"/>
          </rPr>
          <t>2</t>
        </r>
        <r>
          <rPr>
            <sz val="12"/>
            <color indexed="81"/>
            <rFont val="微軟正黑體"/>
            <family val="2"/>
            <charset val="136"/>
          </rPr>
          <t>組</t>
        </r>
        <r>
          <rPr>
            <sz val="12"/>
            <color indexed="81"/>
            <rFont val="Calibri"/>
            <family val="2"/>
          </rPr>
          <t>80
Mesh</t>
        </r>
        <r>
          <rPr>
            <sz val="12"/>
            <color indexed="81"/>
            <rFont val="微軟正黑體"/>
            <family val="2"/>
            <charset val="136"/>
          </rPr>
          <t>機種，依需求設定</t>
        </r>
        <r>
          <rPr>
            <sz val="12"/>
            <color indexed="81"/>
            <rFont val="Calibri"/>
            <family val="2"/>
          </rPr>
          <t>80</t>
        </r>
        <r>
          <rPr>
            <sz val="12"/>
            <color indexed="81"/>
            <rFont val="微軟正黑體"/>
            <family val="2"/>
            <charset val="136"/>
          </rPr>
          <t>料號</t>
        </r>
      </text>
    </comment>
    <comment ref="L1" authorId="0" shapeId="0" xr:uid="{00000000-0006-0000-0300-000003000000}">
      <text>
        <r>
          <rPr>
            <sz val="11"/>
            <color indexed="81"/>
            <rFont val="Calibri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一般機種</t>
        </r>
        <r>
          <rPr>
            <sz val="11"/>
            <color indexed="81"/>
            <rFont val="Calibri"/>
            <family val="2"/>
          </rPr>
          <t>/USB/PCE</t>
        </r>
        <r>
          <rPr>
            <sz val="11"/>
            <color indexed="81"/>
            <rFont val="微軟正黑體"/>
            <family val="2"/>
            <charset val="136"/>
          </rPr>
          <t>等，預設填【</t>
        </r>
        <r>
          <rPr>
            <sz val="14"/>
            <color indexed="81"/>
            <rFont val="Calibri"/>
            <family val="2"/>
          </rPr>
          <t>1</t>
        </r>
        <r>
          <rPr>
            <sz val="11"/>
            <color indexed="81"/>
            <rFont val="微軟正黑體"/>
            <family val="2"/>
            <charset val="136"/>
          </rPr>
          <t xml:space="preserve">】
</t>
        </r>
        <r>
          <rPr>
            <sz val="11"/>
            <color indexed="81"/>
            <rFont val="Calibri"/>
            <family val="2"/>
          </rPr>
          <t>Mesh</t>
        </r>
        <r>
          <rPr>
            <sz val="11"/>
            <color indexed="81"/>
            <rFont val="微軟正黑體"/>
            <family val="2"/>
            <charset val="136"/>
          </rPr>
          <t>機種，依出貨包裝數量填寫</t>
        </r>
        <r>
          <rPr>
            <b/>
            <sz val="11"/>
            <color indexed="81"/>
            <rFont val="Calibri"/>
            <family val="2"/>
          </rPr>
          <t xml:space="preserve">  </t>
        </r>
      </text>
    </comment>
    <comment ref="M1" authorId="0" shapeId="0" xr:uid="{00000000-0006-0000-0300-000004000000}">
      <text>
        <r>
          <rPr>
            <sz val="11"/>
            <color indexed="81"/>
            <rFont val="微軟正黑體"/>
            <family val="2"/>
            <charset val="136"/>
          </rPr>
          <t>固定使用【90IG*】</t>
        </r>
      </text>
    </comment>
    <comment ref="N1" authorId="0" shapeId="0" xr:uid="{00000000-0006-0000-0300-000005000000}">
      <text>
        <r>
          <rPr>
            <sz val="11"/>
            <color indexed="81"/>
            <rFont val="微軟正黑體"/>
            <family val="2"/>
            <charset val="136"/>
          </rPr>
          <t>固定使用【0】</t>
        </r>
      </text>
    </comment>
    <comment ref="O1" authorId="0" shapeId="0" xr:uid="{00000000-0006-0000-0300-000006000000}">
      <text>
        <r>
          <rPr>
            <sz val="11"/>
            <color indexed="81"/>
            <rFont val="微軟正黑體"/>
            <family val="2"/>
            <charset val="136"/>
          </rPr>
          <t>固定使用【</t>
        </r>
        <r>
          <rPr>
            <sz val="11"/>
            <color indexed="81"/>
            <rFont val="Tahoma"/>
            <family val="2"/>
          </rPr>
          <t>N</t>
        </r>
        <r>
          <rPr>
            <sz val="11"/>
            <color indexed="81"/>
            <rFont val="微軟正黑體"/>
            <family val="2"/>
            <charset val="136"/>
          </rPr>
          <t>】</t>
        </r>
      </text>
    </comment>
    <comment ref="AR1" authorId="0" shapeId="0" xr:uid="{00000000-0006-0000-0300-000007000000}">
      <text>
        <r>
          <rPr>
            <sz val="12"/>
            <color indexed="81"/>
            <rFont val="Calibri"/>
            <family val="2"/>
          </rPr>
          <t>GIFT BOX</t>
        </r>
        <r>
          <rPr>
            <sz val="12"/>
            <color indexed="81"/>
            <rFont val="微軟正黑體"/>
            <family val="2"/>
            <charset val="136"/>
          </rPr>
          <t xml:space="preserve">：一般正常出貨
</t>
        </r>
        <r>
          <rPr>
            <sz val="12"/>
            <color indexed="81"/>
            <rFont val="Calibri"/>
            <family val="2"/>
          </rPr>
          <t>DUMMY
BULK PACK</t>
        </r>
      </text>
    </comment>
    <comment ref="AV1" authorId="0" shapeId="0" xr:uid="{00000000-0006-0000-0300-000008000000}">
      <text>
        <r>
          <rPr>
            <b/>
            <sz val="16"/>
            <color indexed="81"/>
            <rFont val="微軟正黑體"/>
            <family val="2"/>
            <charset val="136"/>
          </rPr>
          <t>語言列表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 xml:space="preserve">】
</t>
        </r>
        <r>
          <rPr>
            <sz val="12"/>
            <color indexed="81"/>
            <rFont val="Calibri"/>
            <family val="2"/>
          </rPr>
          <t xml:space="preserve">
</t>
        </r>
        <r>
          <rPr>
            <sz val="13"/>
            <color indexed="81"/>
            <rFont val="Calibri"/>
            <family val="2"/>
          </rPr>
          <t>ASIA
AUSTRALIA
BRAZIL
CANADA
CHINA
ENGLAND
EUROPE
FRANCE
GERMANY
INDIA
JAPAN
KOREA
MULTI
NORTH AMERICA
RUSSIAN
SOUTH AMERICA
TAIWAN
USA
X (for DUMMY)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Tannie Lo(羅雅丹)</author>
  </authors>
  <commentList>
    <comment ref="D1" authorId="0" shapeId="0" xr:uid="{00000000-0006-0000-0400-000001000000}">
      <text>
        <r>
          <rPr>
            <b/>
            <sz val="16"/>
            <color indexed="81"/>
            <rFont val="Calibri"/>
            <family val="2"/>
          </rPr>
          <t>EMS org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微軟正黑體"/>
            <family val="2"/>
            <charset val="136"/>
          </rPr>
          <t>可參考</t>
        </r>
        <r>
          <rPr>
            <sz val="12"/>
            <color indexed="81"/>
            <rFont val="Calibri"/>
            <family val="2"/>
          </rPr>
          <t xml:space="preserve">Sheet </t>
        </r>
        <r>
          <rPr>
            <sz val="12"/>
            <color indexed="81"/>
            <rFont val="微軟正黑體"/>
            <family val="2"/>
            <charset val="136"/>
          </rPr>
          <t>【</t>
        </r>
        <r>
          <rPr>
            <sz val="12"/>
            <color indexed="81"/>
            <rFont val="Calibri"/>
            <family val="2"/>
          </rPr>
          <t>Language &amp; EMS</t>
        </r>
        <r>
          <rPr>
            <sz val="12"/>
            <color indexed="81"/>
            <rFont val="微軟正黑體"/>
            <family val="2"/>
            <charset val="136"/>
          </rPr>
          <t>】</t>
        </r>
        <r>
          <rPr>
            <b/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3"/>
            <color indexed="81"/>
            <rFont val="Calibri"/>
            <family val="2"/>
          </rPr>
          <t xml:space="preserve">
</t>
        </r>
        <r>
          <rPr>
            <u/>
            <sz val="13"/>
            <color indexed="81"/>
            <rFont val="Calibri"/>
            <family val="2"/>
          </rPr>
          <t>Turnkey</t>
        </r>
        <r>
          <rPr>
            <sz val="13"/>
            <color indexed="81"/>
            <rFont val="Calibri"/>
            <family val="2"/>
          </rPr>
          <t xml:space="preserve"> (</t>
        </r>
        <r>
          <rPr>
            <sz val="13"/>
            <color indexed="81"/>
            <rFont val="微軟正黑體"/>
            <family val="2"/>
            <charset val="136"/>
          </rPr>
          <t>常用</t>
        </r>
        <r>
          <rPr>
            <sz val="13"/>
            <color indexed="81"/>
            <rFont val="Calibri"/>
            <family val="2"/>
          </rPr>
          <t xml:space="preserve">)
    AGP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AJR  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AR1     </t>
        </r>
        <r>
          <rPr>
            <sz val="13"/>
            <color indexed="81"/>
            <rFont val="微軟正黑體"/>
            <family val="2"/>
            <charset val="136"/>
          </rPr>
          <t>智易</t>
        </r>
        <r>
          <rPr>
            <sz val="13"/>
            <color indexed="81"/>
            <rFont val="Calibri"/>
            <family val="2"/>
          </rPr>
          <t xml:space="preserve"> Arcadyan_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AFL 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AQR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AWM  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>共進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AUG     </t>
        </r>
        <r>
          <rPr>
            <sz val="13"/>
            <color indexed="81"/>
            <rFont val="微軟正黑體"/>
            <family val="2"/>
            <charset val="136"/>
          </rPr>
          <t>同維</t>
        </r>
        <r>
          <rPr>
            <sz val="13"/>
            <color indexed="81"/>
            <rFont val="Calibri"/>
            <family val="2"/>
          </rPr>
          <t>/</t>
        </r>
        <r>
          <rPr>
            <sz val="13"/>
            <color indexed="81"/>
            <rFont val="微軟正黑體"/>
            <family val="2"/>
            <charset val="136"/>
          </rPr>
          <t>共進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AOR    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AQH     </t>
        </r>
        <r>
          <rPr>
            <sz val="13"/>
            <color indexed="81"/>
            <rFont val="微軟正黑體"/>
            <family val="2"/>
            <charset val="136"/>
          </rPr>
          <t>亞旭</t>
        </r>
        <r>
          <rPr>
            <sz val="13"/>
            <color indexed="81"/>
            <rFont val="Calibri"/>
            <family val="2"/>
          </rPr>
          <t xml:space="preserve"> Askey_</t>
        </r>
        <r>
          <rPr>
            <sz val="13"/>
            <color indexed="81"/>
            <rFont val="微軟正黑體"/>
            <family val="2"/>
            <charset val="136"/>
          </rPr>
          <t xml:space="preserve">台灣
</t>
        </r>
        <r>
          <rPr>
            <sz val="13"/>
            <color indexed="81"/>
            <rFont val="Calibri"/>
            <family val="2"/>
          </rPr>
          <t xml:space="preserve">    ATC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崑山
</t>
        </r>
        <r>
          <rPr>
            <sz val="13"/>
            <color indexed="81"/>
            <rFont val="Calibri"/>
            <family val="2"/>
          </rPr>
          <t xml:space="preserve">    AZK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安博
</t>
        </r>
        <r>
          <rPr>
            <sz val="13"/>
            <color indexed="81"/>
            <rFont val="Calibri"/>
            <family val="2"/>
          </rPr>
          <t xml:space="preserve">    AS9      </t>
        </r>
        <r>
          <rPr>
            <sz val="13"/>
            <color indexed="81"/>
            <rFont val="微軟正黑體"/>
            <family val="2"/>
            <charset val="136"/>
          </rPr>
          <t>正文</t>
        </r>
        <r>
          <rPr>
            <sz val="13"/>
            <color indexed="81"/>
            <rFont val="Calibri"/>
            <family val="2"/>
          </rPr>
          <t>_</t>
        </r>
        <r>
          <rPr>
            <sz val="13"/>
            <color indexed="81"/>
            <rFont val="微軟正黑體"/>
            <family val="2"/>
            <charset val="136"/>
          </rPr>
          <t xml:space="preserve">越南
</t>
        </r>
        <r>
          <rPr>
            <sz val="13"/>
            <color indexed="81"/>
            <rFont val="Calibri"/>
            <family val="2"/>
          </rPr>
          <t xml:space="preserve">    AS3      </t>
        </r>
        <r>
          <rPr>
            <sz val="13"/>
            <color indexed="81"/>
            <rFont val="微軟正黑體"/>
            <family val="2"/>
            <charset val="136"/>
          </rPr>
          <t xml:space="preserve">世紀本原
</t>
        </r>
        <r>
          <rPr>
            <sz val="13"/>
            <color indexed="81"/>
            <rFont val="Calibri"/>
            <family val="2"/>
          </rPr>
          <t xml:space="preserve">    AK4      </t>
        </r>
        <r>
          <rPr>
            <sz val="13"/>
            <color indexed="81"/>
            <rFont val="微軟正黑體"/>
            <family val="2"/>
            <charset val="136"/>
          </rPr>
          <t xml:space="preserve">華芸
</t>
        </r>
        <r>
          <rPr>
            <sz val="13"/>
            <color indexed="81"/>
            <rFont val="Calibri"/>
            <family val="2"/>
          </rPr>
          <t xml:space="preserve">    AKM     </t>
        </r>
        <r>
          <rPr>
            <sz val="13"/>
            <color indexed="81"/>
            <rFont val="微軟正黑體"/>
            <family val="2"/>
            <charset val="136"/>
          </rPr>
          <t xml:space="preserve">啟碁
</t>
        </r>
        <r>
          <rPr>
            <sz val="13"/>
            <color indexed="81"/>
            <rFont val="Calibri"/>
            <family val="2"/>
          </rPr>
          <t xml:space="preserve">    AKN      </t>
        </r>
        <r>
          <rPr>
            <sz val="13"/>
            <color indexed="81"/>
            <rFont val="微軟正黑體"/>
            <family val="2"/>
            <charset val="136"/>
          </rPr>
          <t xml:space="preserve">金磚
</t>
        </r>
        <r>
          <rPr>
            <sz val="13"/>
            <color indexed="81"/>
            <rFont val="Calibri"/>
            <family val="2"/>
          </rPr>
          <t xml:space="preserve">    AFW     </t>
        </r>
        <r>
          <rPr>
            <sz val="13"/>
            <color indexed="81"/>
            <rFont val="微軟正黑體"/>
            <family val="2"/>
            <charset val="136"/>
          </rPr>
          <t xml:space="preserve">晶訊
</t>
        </r>
        <r>
          <rPr>
            <sz val="13"/>
            <color indexed="81"/>
            <rFont val="Calibri"/>
            <family val="2"/>
          </rPr>
          <t xml:space="preserve">    AVT      </t>
        </r>
        <r>
          <rPr>
            <sz val="13"/>
            <color indexed="81"/>
            <rFont val="微軟正黑體"/>
            <family val="2"/>
            <charset val="136"/>
          </rPr>
          <t xml:space="preserve">品威
</t>
        </r>
        <r>
          <rPr>
            <sz val="13"/>
            <color indexed="81"/>
            <rFont val="Calibri"/>
            <family val="2"/>
          </rPr>
          <t xml:space="preserve">    AWJ      </t>
        </r>
        <r>
          <rPr>
            <sz val="13"/>
            <color indexed="81"/>
            <rFont val="微軟正黑體"/>
            <family val="2"/>
            <charset val="136"/>
          </rPr>
          <t xml:space="preserve">東碩
    A3C     偉迪
</t>
        </r>
        <r>
          <rPr>
            <u/>
            <sz val="13"/>
            <color indexed="81"/>
            <rFont val="Calibri"/>
            <family val="2"/>
          </rPr>
          <t xml:space="preserve">Consign </t>
        </r>
        <r>
          <rPr>
            <sz val="13"/>
            <color indexed="81"/>
            <rFont val="Calibri"/>
            <family val="2"/>
          </rPr>
          <t xml:space="preserve">
    AKS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 xml:space="preserve">大陸
</t>
        </r>
        <r>
          <rPr>
            <sz val="13"/>
            <color indexed="81"/>
            <rFont val="Calibri"/>
            <family val="2"/>
          </rPr>
          <t xml:space="preserve">    ASI     </t>
        </r>
        <r>
          <rPr>
            <sz val="13"/>
            <color indexed="81"/>
            <rFont val="微軟正黑體"/>
            <family val="2"/>
            <charset val="136"/>
          </rPr>
          <t>訊舟</t>
        </r>
        <r>
          <rPr>
            <sz val="13"/>
            <color indexed="81"/>
            <rFont val="Calibri"/>
            <family val="2"/>
          </rPr>
          <t xml:space="preserve"> Acelink_</t>
        </r>
        <r>
          <rPr>
            <sz val="13"/>
            <color indexed="81"/>
            <rFont val="微軟正黑體"/>
            <family val="2"/>
            <charset val="136"/>
          </rPr>
          <t>台灣</t>
        </r>
        <r>
          <rPr>
            <sz val="12"/>
            <color indexed="81"/>
            <rFont val="微軟正黑體"/>
            <family val="2"/>
            <charset val="136"/>
          </rPr>
          <t xml:space="preserve">
</t>
        </r>
        <r>
          <rPr>
            <sz val="12"/>
            <color indexed="81"/>
            <rFont val="Calibri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<sst xmlns="http://schemas.openxmlformats.org/spreadsheetml/2006/main" count="200" uniqueCount="161">
  <si>
    <t>Adapter</t>
    <phoneticPr fontId="4" type="noConversion"/>
  </si>
  <si>
    <t>2.4G Channel</t>
    <phoneticPr fontId="4" type="noConversion"/>
  </si>
  <si>
    <t>Model Name</t>
    <phoneticPr fontId="8" type="noConversion"/>
  </si>
  <si>
    <t>SKU</t>
    <phoneticPr fontId="4" type="noConversion"/>
  </si>
  <si>
    <t>I</t>
    <phoneticPr fontId="4" type="noConversion"/>
  </si>
  <si>
    <t>Product Code</t>
    <phoneticPr fontId="4" type="noConversion"/>
  </si>
  <si>
    <t>Project Code</t>
    <phoneticPr fontId="4" type="noConversion"/>
  </si>
  <si>
    <r>
      <rPr>
        <sz val="11"/>
        <rFont val="微軟正黑體"/>
        <family val="2"/>
        <charset val="136"/>
      </rPr>
      <t>－</t>
    </r>
    <phoneticPr fontId="4" type="noConversion"/>
  </si>
  <si>
    <t>G</t>
    <phoneticPr fontId="4" type="noConversion"/>
  </si>
  <si>
    <t>M</t>
    <phoneticPr fontId="4" type="noConversion"/>
  </si>
  <si>
    <t>I</t>
  </si>
  <si>
    <t>G</t>
  </si>
  <si>
    <t>數量</t>
    <phoneticPr fontId="4" type="noConversion"/>
  </si>
  <si>
    <t>料號</t>
    <phoneticPr fontId="4" type="noConversion"/>
  </si>
  <si>
    <t>項目</t>
    <phoneticPr fontId="4" type="noConversion"/>
  </si>
  <si>
    <t>MODEL NAME</t>
    <phoneticPr fontId="20" type="noConversion"/>
  </si>
  <si>
    <t>PRODUCT SERIES</t>
    <phoneticPr fontId="20" type="noConversion"/>
  </si>
  <si>
    <t>PRODUCT TYPE</t>
  </si>
  <si>
    <t>VERSION</t>
  </si>
  <si>
    <t>CHIPSET</t>
  </si>
  <si>
    <t>RAM SIZE</t>
  </si>
  <si>
    <t xml:space="preserve">FLASH MEMORY SIZE </t>
  </si>
  <si>
    <t>HOUSING/ID</t>
  </si>
  <si>
    <t>ANTENNA TYPE</t>
  </si>
  <si>
    <t>WAN PORT</t>
  </si>
  <si>
    <t>LAN PORT</t>
  </si>
  <si>
    <t>ADSL PORT</t>
  </si>
  <si>
    <t>BUTTON/SWITCH</t>
  </si>
  <si>
    <t>USB</t>
  </si>
  <si>
    <t>SFP</t>
  </si>
  <si>
    <t>CONSOLE</t>
  </si>
  <si>
    <t>BATTERY</t>
  </si>
  <si>
    <t>WIRELESS</t>
  </si>
  <si>
    <t>BLUETOOTH</t>
  </si>
  <si>
    <t>3G</t>
  </si>
  <si>
    <t>ACCESSORIES</t>
  </si>
  <si>
    <t>MANUAL</t>
  </si>
  <si>
    <t>CABLE</t>
  </si>
  <si>
    <t>QTY IN CARTON</t>
  </si>
  <si>
    <t xml:space="preserve">VENDER/SUPPLIER </t>
  </si>
  <si>
    <t>REGION</t>
  </si>
  <si>
    <t>POWER ADAPTER</t>
  </si>
  <si>
    <t>OPERATING 
CHANNEL</t>
    <phoneticPr fontId="4" type="noConversion"/>
  </si>
  <si>
    <t>OPERATING 
FREQUENCY</t>
    <phoneticPr fontId="4" type="noConversion"/>
  </si>
  <si>
    <t>POWER 
CORD</t>
    <phoneticPr fontId="4" type="noConversion"/>
  </si>
  <si>
    <t>90IG*</t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</si>
  <si>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color indexed="8"/>
        <rFont val="Calibri"/>
        <family val="2"/>
      </rPr>
      <t>DESCRIPTION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</si>
  <si>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PACKING</t>
    </r>
    <r>
      <rPr>
        <sz val="11"/>
        <rFont val="微軟正黑體"/>
        <family val="2"/>
        <charset val="136"/>
      </rPr>
      <t>　</t>
    </r>
    <phoneticPr fontId="4" type="noConversion"/>
  </si>
  <si>
    <r>
      <rPr>
        <b/>
        <sz val="11"/>
        <color theme="1"/>
        <rFont val="微軟正黑體"/>
        <family val="2"/>
        <charset val="136"/>
      </rPr>
      <t>項目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</si>
  <si>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CATALOG
 GROUP NAME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</si>
  <si>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DEMANTRA ITEM TYPE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</si>
  <si>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LANGUAGE</t>
    </r>
    <phoneticPr fontId="4" type="noConversion"/>
  </si>
  <si>
    <r>
      <t>FW</t>
    </r>
    <r>
      <rPr>
        <sz val="11"/>
        <color theme="1"/>
        <rFont val="微軟正黑體"/>
        <family val="2"/>
        <charset val="136"/>
      </rPr>
      <t>版本</t>
    </r>
    <phoneticPr fontId="4" type="noConversion"/>
  </si>
  <si>
    <t>N</t>
    <phoneticPr fontId="4" type="noConversion"/>
  </si>
  <si>
    <t>GIFT BOX</t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</si>
  <si>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indexed="8"/>
        <rFont val="Calibri"/>
        <family val="2"/>
      </rPr>
      <t>DESCRIPTION</t>
    </r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</si>
  <si>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theme="1"/>
        <rFont val="Calibri"/>
        <family val="2"/>
      </rPr>
      <t xml:space="preserve">EMS org ( </t>
    </r>
    <r>
      <rPr>
        <sz val="12"/>
        <color theme="1"/>
        <rFont val="微軟正黑體"/>
        <family val="2"/>
        <charset val="136"/>
      </rPr>
      <t>三碼</t>
    </r>
    <r>
      <rPr>
        <sz val="12"/>
        <color theme="1"/>
        <rFont val="Calibri"/>
        <family val="2"/>
      </rPr>
      <t>)</t>
    </r>
    <phoneticPr fontId="4" type="noConversion"/>
  </si>
  <si>
    <t>ID+COLOR</t>
    <phoneticPr fontId="20" type="noConversion"/>
  </si>
  <si>
    <t>USA</t>
    <phoneticPr fontId="4" type="noConversion"/>
  </si>
  <si>
    <t>A</t>
    <phoneticPr fontId="4" type="noConversion"/>
  </si>
  <si>
    <t>備註</t>
    <phoneticPr fontId="4" type="noConversion"/>
  </si>
  <si>
    <t>範例</t>
    <phoneticPr fontId="4" type="noConversion"/>
  </si>
  <si>
    <t>Region</t>
    <phoneticPr fontId="4" type="noConversion"/>
  </si>
  <si>
    <t>Remark</t>
    <phoneticPr fontId="4" type="noConversion"/>
  </si>
  <si>
    <r>
      <t xml:space="preserve">90 BOM </t>
    </r>
    <r>
      <rPr>
        <b/>
        <sz val="12"/>
        <color theme="1"/>
        <rFont val="微軟正黑體"/>
        <family val="2"/>
        <charset val="136"/>
      </rPr>
      <t>編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微軟正黑體"/>
        <family val="2"/>
        <charset val="136"/>
      </rPr>
      <t>碼</t>
    </r>
    <phoneticPr fontId="4" type="noConversion"/>
  </si>
  <si>
    <r>
      <t xml:space="preserve">80 BOM </t>
    </r>
    <r>
      <rPr>
        <b/>
        <sz val="14"/>
        <color theme="1"/>
        <rFont val="微軟正黑體"/>
        <family val="2"/>
        <charset val="136"/>
      </rPr>
      <t>編</t>
    </r>
    <r>
      <rPr>
        <b/>
        <sz val="14"/>
        <color theme="1"/>
        <rFont val="Calibri"/>
        <family val="2"/>
      </rPr>
      <t xml:space="preserve"> </t>
    </r>
    <r>
      <rPr>
        <b/>
        <sz val="14"/>
        <color theme="1"/>
        <rFont val="微軟正黑體"/>
        <family val="2"/>
        <charset val="136"/>
      </rPr>
      <t>碼</t>
    </r>
    <phoneticPr fontId="4" type="noConversion"/>
  </si>
  <si>
    <r>
      <t xml:space="preserve">89 BOM </t>
    </r>
    <r>
      <rPr>
        <b/>
        <sz val="12"/>
        <color theme="1"/>
        <rFont val="微軟正黑體"/>
        <family val="2"/>
        <charset val="136"/>
      </rPr>
      <t>編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微軟正黑體"/>
        <family val="2"/>
        <charset val="136"/>
      </rPr>
      <t>碼</t>
    </r>
    <phoneticPr fontId="4" type="noConversion"/>
  </si>
  <si>
    <t>Power Adapter</t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</si>
  <si>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color indexed="8"/>
        <rFont val="Calibri"/>
        <family val="2"/>
      </rPr>
      <t>PART NO</t>
    </r>
    <phoneticPr fontId="4" type="noConversion"/>
  </si>
  <si>
    <r>
      <rPr>
        <sz val="11"/>
        <color rgb="FFFF0000"/>
        <rFont val="Calibri"/>
        <family val="2"/>
      </rPr>
      <t>*</t>
    </r>
    <r>
      <rPr>
        <sz val="11"/>
        <rFont val="Calibri"/>
        <family val="2"/>
      </rPr>
      <t>Local_buy</t>
    </r>
    <phoneticPr fontId="4" type="noConversion"/>
  </si>
  <si>
    <r>
      <rPr>
        <sz val="12"/>
        <color rgb="FFFF0000"/>
        <rFont val="Calibri"/>
        <family val="2"/>
      </rPr>
      <t>*</t>
    </r>
    <r>
      <rPr>
        <sz val="12"/>
        <color indexed="8"/>
        <rFont val="Calibri"/>
        <family val="2"/>
      </rPr>
      <t>PART NO</t>
    </r>
    <phoneticPr fontId="4" type="noConversion"/>
  </si>
  <si>
    <t>C</t>
    <phoneticPr fontId="4" type="noConversion"/>
  </si>
  <si>
    <t>ID+Color</t>
    <phoneticPr fontId="4" type="noConversion"/>
  </si>
  <si>
    <t>PCBA</t>
    <phoneticPr fontId="4" type="noConversion"/>
  </si>
  <si>
    <r>
      <rPr>
        <sz val="13"/>
        <rFont val="微軟正黑體"/>
        <family val="2"/>
        <charset val="136"/>
      </rPr>
      <t>階層別</t>
    </r>
    <phoneticPr fontId="4" type="noConversion"/>
  </si>
  <si>
    <r>
      <rPr>
        <sz val="13"/>
        <rFont val="微軟正黑體"/>
        <family val="2"/>
        <charset val="136"/>
      </rPr>
      <t>－</t>
    </r>
    <phoneticPr fontId="4" type="noConversion"/>
  </si>
  <si>
    <r>
      <rPr>
        <sz val="13"/>
        <rFont val="微軟正黑體"/>
        <family val="2"/>
        <charset val="136"/>
      </rPr>
      <t>屬性</t>
    </r>
    <phoneticPr fontId="4" type="noConversion"/>
  </si>
  <si>
    <r>
      <rPr>
        <sz val="13"/>
        <color theme="1"/>
        <rFont val="微軟正黑體"/>
        <family val="2"/>
        <charset val="136"/>
      </rPr>
      <t>機種分類</t>
    </r>
    <phoneticPr fontId="4" type="noConversion"/>
  </si>
  <si>
    <r>
      <rPr>
        <sz val="13"/>
        <color theme="1"/>
        <rFont val="微軟正黑體"/>
        <family val="2"/>
        <charset val="136"/>
      </rPr>
      <t>出貨機台數量</t>
    </r>
    <phoneticPr fontId="4" type="noConversion"/>
  </si>
  <si>
    <r>
      <rPr>
        <sz val="13"/>
        <rFont val="微軟正黑體"/>
        <family val="2"/>
        <charset val="136"/>
      </rPr>
      <t>流水號</t>
    </r>
    <phoneticPr fontId="4" type="noConversion"/>
  </si>
  <si>
    <r>
      <rPr>
        <sz val="13"/>
        <rFont val="微軟正黑體"/>
        <family val="2"/>
        <charset val="136"/>
      </rPr>
      <t>保留碼</t>
    </r>
    <phoneticPr fontId="4" type="noConversion"/>
  </si>
  <si>
    <r>
      <rPr>
        <sz val="13"/>
        <rFont val="微軟正黑體"/>
        <family val="2"/>
        <charset val="136"/>
      </rPr>
      <t>外包商
代碼</t>
    </r>
    <phoneticPr fontId="4" type="noConversion"/>
  </si>
  <si>
    <t>可參考每格右上角的註解說明</t>
    <phoneticPr fontId="4" type="noConversion"/>
  </si>
  <si>
    <t>品規</t>
    <phoneticPr fontId="4" type="noConversion"/>
  </si>
  <si>
    <t>黃色格子，需自行填入</t>
    <phoneticPr fontId="4" type="noConversion"/>
  </si>
  <si>
    <r>
      <rPr>
        <b/>
        <sz val="12"/>
        <color rgb="FFFF0000"/>
        <rFont val="Calibri"/>
        <family val="2"/>
      </rPr>
      <t>*</t>
    </r>
    <r>
      <rPr>
        <b/>
        <sz val="12"/>
        <color theme="1"/>
        <rFont val="Calibri"/>
        <family val="2"/>
      </rPr>
      <t xml:space="preserve"> 90 Description</t>
    </r>
    <phoneticPr fontId="4" type="noConversion"/>
  </si>
  <si>
    <t>90 Description</t>
    <phoneticPr fontId="4" type="noConversion"/>
  </si>
  <si>
    <t>新建的89料號底下，都先掛底下單一料號</t>
    <phoneticPr fontId="4" type="noConversion"/>
  </si>
  <si>
    <t>主料/替代料</t>
    <phoneticPr fontId="4" type="noConversion"/>
  </si>
  <si>
    <t>元件料號</t>
    <phoneticPr fontId="4" type="noConversion"/>
  </si>
  <si>
    <t>元件品規</t>
    <phoneticPr fontId="4" type="noConversion"/>
  </si>
  <si>
    <r>
      <t>主料</t>
    </r>
    <r>
      <rPr>
        <sz val="12"/>
        <color theme="1"/>
        <rFont val="Calibri"/>
        <family val="2"/>
      </rPr>
      <t/>
    </r>
    <phoneticPr fontId="4" type="noConversion"/>
  </si>
  <si>
    <r>
      <rPr>
        <sz val="11"/>
        <color rgb="FFFF0000"/>
        <rFont val="Calibri"/>
        <family val="2"/>
      </rPr>
      <t xml:space="preserve">* </t>
    </r>
    <r>
      <rPr>
        <sz val="11"/>
        <color theme="1"/>
        <rFont val="Calibri"/>
        <family val="2"/>
      </rPr>
      <t xml:space="preserve">80 </t>
    </r>
    <r>
      <rPr>
        <sz val="11"/>
        <color theme="1"/>
        <rFont val="微軟正黑體"/>
        <family val="2"/>
        <charset val="136"/>
      </rPr>
      <t xml:space="preserve">料號
</t>
    </r>
    <r>
      <rPr>
        <sz val="11"/>
        <rFont val="Calibri"/>
        <family val="2"/>
      </rPr>
      <t>Q'ty</t>
    </r>
    <phoneticPr fontId="4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</si>
  <si>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rFont val="微軟正黑體"/>
        <family val="2"/>
        <charset val="136"/>
      </rPr>
      <t>89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2"/>
        <color theme="1"/>
        <rFont val="微軟正黑體"/>
        <family val="2"/>
        <charset val="136"/>
      </rPr>
      <t>料號</t>
    </r>
    <phoneticPr fontId="4" type="noConversion"/>
  </si>
  <si>
    <r>
      <rPr>
        <sz val="12"/>
        <color rgb="FFFF0000"/>
        <rFont val="微軟正黑體"/>
        <family val="2"/>
        <charset val="136"/>
      </rPr>
      <t>*</t>
    </r>
    <r>
      <rPr>
        <sz val="12"/>
        <rFont val="微軟正黑體"/>
        <family val="2"/>
        <charset val="136"/>
      </rPr>
      <t>8</t>
    </r>
    <r>
      <rPr>
        <sz val="12"/>
        <color theme="1"/>
        <rFont val="微軟正黑體"/>
        <family val="2"/>
        <charset val="136"/>
      </rPr>
      <t>0</t>
    </r>
    <r>
      <rPr>
        <sz val="11"/>
        <color theme="1"/>
        <rFont val="微軟正黑體"/>
        <family val="2"/>
        <charset val="136"/>
      </rPr>
      <t xml:space="preserve"> </t>
    </r>
    <r>
      <rPr>
        <b/>
        <sz val="12"/>
        <color theme="1"/>
        <rFont val="微軟正黑體"/>
        <family val="2"/>
        <charset val="136"/>
      </rPr>
      <t>料號</t>
    </r>
    <phoneticPr fontId="4" type="noConversion"/>
  </si>
  <si>
    <t>NPI 機種</t>
    <phoneticPr fontId="4" type="noConversion"/>
  </si>
  <si>
    <t>MP機種</t>
    <phoneticPr fontId="4" type="noConversion"/>
  </si>
  <si>
    <t>90 PN</t>
    <phoneticPr fontId="4" type="noConversion"/>
  </si>
  <si>
    <t>89 PN</t>
    <phoneticPr fontId="4" type="noConversion"/>
  </si>
  <si>
    <r>
      <t xml:space="preserve">89 </t>
    </r>
    <r>
      <rPr>
        <b/>
        <sz val="13"/>
        <color indexed="8"/>
        <rFont val="微軟正黑體"/>
        <family val="2"/>
        <charset val="136"/>
      </rPr>
      <t>品規</t>
    </r>
    <phoneticPr fontId="4" type="noConversion"/>
  </si>
  <si>
    <t>依實際Adapter狀況維護</t>
    <phoneticPr fontId="4" type="noConversion"/>
  </si>
  <si>
    <r>
      <rPr>
        <b/>
        <sz val="12"/>
        <color indexed="8"/>
        <rFont val="微軟正黑體"/>
        <family val="2"/>
        <charset val="136"/>
      </rPr>
      <t>元件料號</t>
    </r>
    <phoneticPr fontId="4" type="noConversion"/>
  </si>
  <si>
    <r>
      <rPr>
        <b/>
        <sz val="12"/>
        <color indexed="8"/>
        <rFont val="微軟正黑體"/>
        <family val="2"/>
        <charset val="136"/>
      </rPr>
      <t>數量</t>
    </r>
    <phoneticPr fontId="4" type="noConversion"/>
  </si>
  <si>
    <r>
      <rPr>
        <b/>
        <sz val="12"/>
        <color indexed="8"/>
        <rFont val="微軟正黑體"/>
        <family val="2"/>
        <charset val="136"/>
      </rPr>
      <t>元件品規</t>
    </r>
    <phoneticPr fontId="4" type="noConversion"/>
  </si>
  <si>
    <r>
      <rPr>
        <sz val="12"/>
        <color theme="1"/>
        <rFont val="微軟正黑體"/>
        <family val="2"/>
        <charset val="136"/>
      </rPr>
      <t>階層別</t>
    </r>
    <phoneticPr fontId="4" type="noConversion"/>
  </si>
  <si>
    <r>
      <rPr>
        <sz val="12"/>
        <color theme="1"/>
        <rFont val="微軟正黑體"/>
        <family val="2"/>
        <charset val="136"/>
      </rPr>
      <t>保留碼</t>
    </r>
    <phoneticPr fontId="4" type="noConversion"/>
  </si>
  <si>
    <r>
      <rPr>
        <sz val="12"/>
        <color theme="1"/>
        <rFont val="微軟正黑體"/>
        <family val="2"/>
        <charset val="136"/>
      </rPr>
      <t>－</t>
    </r>
    <phoneticPr fontId="4" type="noConversion"/>
  </si>
  <si>
    <r>
      <rPr>
        <sz val="12"/>
        <color theme="1"/>
        <rFont val="微軟正黑體"/>
        <family val="2"/>
        <charset val="136"/>
      </rPr>
      <t>屬性</t>
    </r>
    <phoneticPr fontId="4" type="noConversion"/>
  </si>
  <si>
    <r>
      <rPr>
        <sz val="12"/>
        <color theme="1"/>
        <rFont val="微軟正黑體"/>
        <family val="2"/>
        <charset val="136"/>
      </rPr>
      <t>流水號</t>
    </r>
    <phoneticPr fontId="4" type="noConversion"/>
  </si>
  <si>
    <r>
      <rPr>
        <sz val="12"/>
        <rFont val="微軟正黑體"/>
        <family val="2"/>
        <charset val="136"/>
      </rPr>
      <t>－</t>
    </r>
    <phoneticPr fontId="4" type="noConversion"/>
  </si>
  <si>
    <r>
      <rPr>
        <b/>
        <sz val="12"/>
        <color indexed="8"/>
        <rFont val="微軟正黑體"/>
        <family val="2"/>
        <charset val="136"/>
      </rPr>
      <t>主料</t>
    </r>
    <r>
      <rPr>
        <b/>
        <sz val="12"/>
        <color indexed="8"/>
        <rFont val="Calibri"/>
        <family val="2"/>
      </rPr>
      <t xml:space="preserve"> / </t>
    </r>
    <r>
      <rPr>
        <b/>
        <sz val="12"/>
        <color indexed="8"/>
        <rFont val="微軟正黑體"/>
        <family val="2"/>
        <charset val="136"/>
      </rPr>
      <t>替代料</t>
    </r>
    <r>
      <rPr>
        <b/>
        <sz val="12"/>
        <color indexed="8"/>
        <rFont val="Calibri"/>
        <family val="2"/>
      </rPr>
      <t>/ Running Change</t>
    </r>
    <phoneticPr fontId="4" type="noConversion"/>
  </si>
  <si>
    <t>15060-26K00000</t>
    <phoneticPr fontId="4" type="noConversion"/>
  </si>
  <si>
    <t>IG COMMON QSG//V1.0</t>
    <phoneticPr fontId="4" type="noConversion"/>
  </si>
  <si>
    <t>PROJECT NAME</t>
    <phoneticPr fontId="4" type="noConversion"/>
  </si>
  <si>
    <t>M</t>
  </si>
  <si>
    <t>US</t>
    <phoneticPr fontId="4" type="noConversion"/>
  </si>
  <si>
    <t>P_US</t>
    <phoneticPr fontId="4" type="noConversion"/>
  </si>
  <si>
    <t>A</t>
    <phoneticPr fontId="4" type="noConversion"/>
  </si>
  <si>
    <t>V</t>
    <phoneticPr fontId="4" type="noConversion"/>
  </si>
  <si>
    <t>PW</t>
    <phoneticPr fontId="4" type="noConversion"/>
  </si>
  <si>
    <t>主料</t>
    <phoneticPr fontId="4" type="noConversion"/>
  </si>
  <si>
    <t>GT-BE19000AI/US</t>
  </si>
  <si>
    <t>GT-BE19000AI/CA</t>
  </si>
  <si>
    <t>GT-BE19000AI/TW</t>
  </si>
  <si>
    <t>AR1</t>
    <phoneticPr fontId="4" type="noConversion"/>
  </si>
  <si>
    <t>90IG09S0-MA1A0V</t>
  </si>
  <si>
    <t>90IG09SB-MA1A0V</t>
  </si>
  <si>
    <t>90IG09S0-MX1A0V</t>
  </si>
  <si>
    <t>90IG09S0-MT1A0V</t>
  </si>
  <si>
    <t>90IG09S0-MFAA0V</t>
  </si>
  <si>
    <t>90IG09S0-MO9A0V</t>
  </si>
  <si>
    <t>89IG097S-ACA000</t>
    <phoneticPr fontId="4" type="noConversion"/>
  </si>
  <si>
    <t>GT-BE19000AI/APAC_AU</t>
    <phoneticPr fontId="4" type="noConversion"/>
  </si>
  <si>
    <t>GT-BE19000AI/EU_UK</t>
    <phoneticPr fontId="4" type="noConversion"/>
  </si>
  <si>
    <t>0A001-00401400</t>
    <phoneticPr fontId="4" type="noConversion"/>
  </si>
  <si>
    <t>ADAPTER 60W 12V(BLK) US//LEADER/MU60B31120-A01S</t>
    <phoneticPr fontId="4" type="noConversion"/>
  </si>
  <si>
    <t>0A001-00401100</t>
    <phoneticPr fontId="4" type="noConversion"/>
  </si>
  <si>
    <t>ADAPTER 60W 12V(VAR) BLK//LEADER/IU60B31120-003H</t>
    <phoneticPr fontId="4" type="noConversion"/>
  </si>
  <si>
    <t>0A200-00121300</t>
    <phoneticPr fontId="4" type="noConversion"/>
  </si>
  <si>
    <t>AC PLUG EU TYPE BLK//LEADER/IS8C50BLK1-11H</t>
    <phoneticPr fontId="4" type="noConversion"/>
  </si>
  <si>
    <t>0A200-00121100</t>
    <phoneticPr fontId="4" type="noConversion"/>
  </si>
  <si>
    <t>AC PLUG UK TYPE BLK//LEADER/IS8B20BLK1-11H</t>
    <phoneticPr fontId="4" type="noConversion"/>
  </si>
  <si>
    <t>0A200-00120900</t>
    <phoneticPr fontId="4" type="noConversion"/>
  </si>
  <si>
    <t>AC PLUG AU TYPE BLK//LEADER/IS8A30BLK1-11H</t>
    <phoneticPr fontId="4" type="noConversion"/>
  </si>
  <si>
    <t>89IG09S0-ACA000</t>
    <phoneticPr fontId="4" type="noConversion"/>
  </si>
  <si>
    <t>89IG09S0-ACX000</t>
    <phoneticPr fontId="4" type="noConversion"/>
  </si>
  <si>
    <t>89IG09S0-ACT000</t>
    <phoneticPr fontId="4" type="noConversion"/>
  </si>
  <si>
    <t>89IG09S0-ACF000</t>
    <phoneticPr fontId="4" type="noConversion"/>
  </si>
  <si>
    <t>89IG09S0-ACO000</t>
    <phoneticPr fontId="4" type="noConversion"/>
  </si>
  <si>
    <t>VBU</t>
    <phoneticPr fontId="4" type="noConversion"/>
  </si>
  <si>
    <t>ROUTER</t>
    <phoneticPr fontId="4" type="noConversion"/>
  </si>
  <si>
    <t>80IG0AN0-M00100</t>
    <phoneticPr fontId="4" type="noConversion"/>
  </si>
  <si>
    <t>70IG0AN0-SA1000</t>
    <phoneticPr fontId="4" type="noConversion"/>
  </si>
  <si>
    <t>GT-BN98 PRO</t>
    <phoneticPr fontId="4" type="noConversion"/>
  </si>
  <si>
    <t>GT-BN98 PRO//</t>
    <phoneticPr fontId="4" type="noConversion"/>
  </si>
  <si>
    <t>GT-BN98 PRO SYSTEM ASSY//</t>
    <phoneticPr fontId="4" type="noConversion"/>
  </si>
  <si>
    <t>GT-BN98 PRO MAIN BD.//R1.10 (PR)(TEST)</t>
    <phoneticPr fontId="4" type="noConversion"/>
  </si>
  <si>
    <t>60IG0AN1-MB0A01</t>
    <phoneticPr fontId="4" type="noConversion"/>
  </si>
  <si>
    <t>Channel</t>
    <phoneticPr fontId="8" type="noConversion"/>
  </si>
  <si>
    <r>
      <rPr>
        <sz val="13"/>
        <rFont val="微軟正黑體"/>
        <family val="2"/>
        <charset val="136"/>
      </rPr>
      <t>－</t>
    </r>
    <phoneticPr fontId="8" type="noConversion"/>
  </si>
  <si>
    <t>-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</si>
</sst>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1"/>
      <name val="新細明體"/>
      <family val="2"/>
      <charset val="136"/>
      <scheme val="minor"/>
    </font>
    <font>
      <sz val="11"/>
      <name val="Calibri"/>
      <family val="2"/>
    </font>
    <font>
      <sz val="1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color theme="1"/>
      <name val="Calibri"/>
      <family val="2"/>
    </font>
    <font>
      <sz val="9"/>
      <name val="細明體"/>
      <family val="3"/>
      <charset val="136"/>
    </font>
    <font>
      <b/>
      <sz val="11"/>
      <color theme="1"/>
      <name val="Calibri"/>
      <family val="2"/>
    </font>
    <font>
      <b/>
      <sz val="11"/>
      <color theme="1"/>
      <name val="微軟正黑體"/>
      <family val="2"/>
      <charset val="136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theme="0" tint="-0.499984740745262"/>
      <name val="Calibri"/>
      <family val="2"/>
    </font>
    <font>
      <b/>
      <sz val="12"/>
      <color theme="0" tint="-0.49998474074526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2"/>
      <color indexed="81"/>
      <name val="Calibri"/>
      <family val="2"/>
    </font>
    <font>
      <sz val="12"/>
      <color indexed="81"/>
      <name val="微軟正黑體"/>
      <family val="2"/>
      <charset val="136"/>
    </font>
    <font>
      <b/>
      <sz val="12"/>
      <color indexed="81"/>
      <name val="微軟正黑體"/>
      <family val="2"/>
      <charset val="136"/>
    </font>
    <font>
      <b/>
      <sz val="16"/>
      <color indexed="81"/>
      <name val="微軟正黑體"/>
      <family val="2"/>
      <charset val="136"/>
    </font>
    <font>
      <sz val="11"/>
      <color indexed="81"/>
      <name val="Tahoma"/>
      <family val="2"/>
    </font>
    <font>
      <sz val="11"/>
      <color indexed="81"/>
      <name val="微軟正黑體"/>
      <family val="2"/>
      <charset val="136"/>
    </font>
    <font>
      <b/>
      <sz val="14"/>
      <color theme="1"/>
      <name val="Calibri"/>
      <family val="2"/>
    </font>
    <font>
      <b/>
      <sz val="16"/>
      <name val="標楷體"/>
      <family val="4"/>
      <charset val="136"/>
    </font>
    <font>
      <sz val="13"/>
      <color indexed="81"/>
      <name val="微軟正黑體"/>
      <family val="2"/>
      <charset val="136"/>
    </font>
    <font>
      <sz val="13"/>
      <color indexed="81"/>
      <name val="Calibri"/>
      <family val="2"/>
    </font>
    <font>
      <u/>
      <sz val="13"/>
      <color indexed="81"/>
      <name val="Calibri"/>
      <family val="2"/>
    </font>
    <font>
      <b/>
      <sz val="13"/>
      <color indexed="81"/>
      <name val="Calibri"/>
      <family val="2"/>
    </font>
    <font>
      <b/>
      <sz val="16"/>
      <color indexed="81"/>
      <name val="Calibri"/>
      <family val="2"/>
    </font>
    <font>
      <b/>
      <sz val="12"/>
      <color indexed="81"/>
      <name val="Calibri"/>
      <family val="2"/>
    </font>
    <font>
      <sz val="12"/>
      <color theme="0" tint="-0.499984740745262"/>
      <name val="Calibri"/>
      <family val="2"/>
    </font>
    <font>
      <sz val="14"/>
      <color indexed="81"/>
      <name val="Calibri"/>
      <family val="2"/>
    </font>
    <font>
      <sz val="11"/>
      <color indexed="81"/>
      <name val="Calibri"/>
      <family val="2"/>
    </font>
    <font>
      <strike/>
      <sz val="13"/>
      <color indexed="81"/>
      <name val="微軟正黑體"/>
      <family val="2"/>
      <charset val="136"/>
    </font>
    <font>
      <strike/>
      <sz val="13"/>
      <color indexed="81"/>
      <name val="Calibri"/>
      <family val="2"/>
    </font>
    <font>
      <strike/>
      <sz val="12"/>
      <color indexed="81"/>
      <name val="微軟正黑體"/>
      <family val="2"/>
      <charset val="136"/>
    </font>
    <font>
      <strike/>
      <sz val="12"/>
      <color indexed="81"/>
      <name val="Calibri"/>
      <family val="2"/>
    </font>
    <font>
      <sz val="13"/>
      <color theme="1"/>
      <name val="Calibri"/>
      <family val="2"/>
    </font>
    <font>
      <sz val="13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3"/>
      <color theme="1"/>
      <name val="Calibri"/>
      <family val="2"/>
    </font>
    <font>
      <sz val="13"/>
      <name val="Calibri"/>
      <family val="2"/>
    </font>
    <font>
      <b/>
      <sz val="13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13"/>
      <color indexed="8"/>
      <name val="Calibri"/>
      <family val="2"/>
    </font>
    <font>
      <b/>
      <sz val="11"/>
      <color indexed="81"/>
      <name val="Calibri"/>
      <family val="2"/>
    </font>
    <font>
      <sz val="12"/>
      <color indexed="81"/>
      <name val="Tahoma"/>
      <family val="2"/>
    </font>
    <font>
      <b/>
      <sz val="13"/>
      <color indexed="8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b/>
      <sz val="13"/>
      <color indexed="81"/>
      <name val="細明體"/>
      <family val="3"/>
      <charset val="136"/>
    </font>
    <font>
      <sz val="13"/>
      <color indexed="81"/>
      <name val="細明體"/>
      <family val="3"/>
      <charset val="136"/>
    </font>
    <font>
      <sz val="14"/>
      <color theme="1"/>
      <name val="Calibri"/>
      <family val="2"/>
    </font>
    <font>
      <sz val="14"/>
      <color theme="1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indexed="8"/>
      <name val="Calibri"/>
      <family val="2"/>
    </font>
    <font>
      <b/>
      <sz val="12"/>
      <color indexed="8"/>
      <name val="Calibri"/>
      <family val="2"/>
      <charset val="136"/>
    </font>
    <font>
      <strike/>
      <sz val="13"/>
      <color indexed="81"/>
      <name val="新細明體"/>
      <family val="1"/>
      <charset val="136"/>
    </font>
    <font>
      <sz val="13"/>
      <color indexed="15"/>
      <name val="Calibri"/>
      <family val="2"/>
    </font>
    <font>
      <sz val="13"/>
      <color indexed="53"/>
      <name val="Calibri"/>
      <family val="2"/>
    </font>
    <font>
      <sz val="13"/>
      <color indexed="53"/>
      <name val="微軟正黑體"/>
      <family val="2"/>
      <charset val="136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E5F0FF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DFF8D"/>
        <bgColor indexed="64"/>
      </patternFill>
    </fill>
    <fill>
      <patternFill patternType="solid">
        <fgColor rgb="FFFDE2CB"/>
        <bgColor theme="0"/>
      </patternFill>
    </fill>
    <fill>
      <patternFill patternType="solid">
        <fgColor rgb="FFFDE2CB"/>
        <bgColor indexed="64"/>
      </patternFill>
    </fill>
    <fill>
      <patternFill patternType="solid">
        <fgColor rgb="FFC4EECC"/>
        <bgColor theme="0"/>
      </patternFill>
    </fill>
    <fill>
      <patternFill patternType="solid">
        <fgColor rgb="FFC4EE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E9FF"/>
        <bgColor theme="0"/>
      </patternFill>
    </fill>
    <fill>
      <patternFill patternType="solid">
        <fgColor rgb="FFFEE8F8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FBA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BC1"/>
        <bgColor indexed="64"/>
      </patternFill>
    </fill>
    <fill>
      <patternFill patternType="solid">
        <fgColor theme="9" tint="0.39997558519241921"/>
        <bgColor theme="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</borders>
  <cellStyleXfs count="115">
    <xf numFmtId="0" fontId="0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>
      <alignment vertical="center"/>
    </xf>
    <xf numFmtId="0" fontId="9" fillId="6" borderId="14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49" fontId="15" fillId="2" borderId="1" xfId="2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21" fillId="12" borderId="7" xfId="0" applyNumberFormat="1" applyFont="1" applyFill="1" applyBorder="1" applyAlignment="1">
      <alignment horizontal="center" vertical="center"/>
    </xf>
    <xf numFmtId="49" fontId="23" fillId="12" borderId="1" xfId="2" applyNumberFormat="1" applyFont="1" applyFill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 vertical="center" wrapText="1"/>
    </xf>
    <xf numFmtId="49" fontId="19" fillId="12" borderId="1" xfId="0" applyNumberFormat="1" applyFont="1" applyFill="1" applyBorder="1" applyAlignment="1">
      <alignment horizontal="center" vertical="center"/>
    </xf>
    <xf numFmtId="49" fontId="10" fillId="12" borderId="1" xfId="2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44" fillId="3" borderId="1" xfId="0" applyFont="1" applyFill="1" applyBorder="1" applyAlignment="1">
      <alignment horizontal="center" vertical="center"/>
    </xf>
    <xf numFmtId="0" fontId="37" fillId="13" borderId="0" xfId="0" applyFont="1" applyFill="1" applyAlignment="1">
      <alignment vertical="center" wrapText="1"/>
    </xf>
    <xf numFmtId="0" fontId="28" fillId="13" borderId="0" xfId="0" applyFont="1" applyFill="1">
      <alignment vertical="center"/>
    </xf>
    <xf numFmtId="0" fontId="9" fillId="0" borderId="26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/>
    </xf>
    <xf numFmtId="0" fontId="54" fillId="14" borderId="14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 wrapText="1"/>
    </xf>
    <xf numFmtId="0" fontId="55" fillId="9" borderId="14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29" fillId="3" borderId="0" xfId="0" applyFont="1" applyFill="1" applyAlignment="1"/>
    <xf numFmtId="0" fontId="29" fillId="3" borderId="0" xfId="0" applyFont="1" applyFill="1">
      <alignment vertical="center"/>
    </xf>
    <xf numFmtId="0" fontId="69" fillId="3" borderId="0" xfId="0" applyFont="1" applyFill="1" applyAlignment="1">
      <alignment vertical="top"/>
    </xf>
    <xf numFmtId="0" fontId="68" fillId="3" borderId="0" xfId="0" applyFont="1" applyFill="1" applyAlignment="1">
      <alignment vertical="top"/>
    </xf>
    <xf numFmtId="0" fontId="68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vertical="top"/>
    </xf>
    <xf numFmtId="0" fontId="6" fillId="17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49" fontId="63" fillId="19" borderId="1" xfId="2" applyNumberFormat="1" applyFont="1" applyFill="1" applyBorder="1" applyAlignment="1">
      <alignment horizontal="center" vertical="center"/>
    </xf>
    <xf numFmtId="49" fontId="71" fillId="16" borderId="1" xfId="2" applyNumberFormat="1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0" borderId="14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 wrapText="1"/>
    </xf>
    <xf numFmtId="0" fontId="9" fillId="20" borderId="5" xfId="0" applyFont="1" applyFill="1" applyBorder="1" applyAlignment="1">
      <alignment horizontal="center" vertical="center" wrapText="1"/>
    </xf>
    <xf numFmtId="0" fontId="9" fillId="20" borderId="14" xfId="0" applyFont="1" applyFill="1" applyBorder="1" applyAlignment="1">
      <alignment horizontal="center" vertical="center"/>
    </xf>
    <xf numFmtId="49" fontId="63" fillId="19" borderId="1" xfId="2" applyNumberFormat="1" applyFont="1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55" fillId="9" borderId="13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51" fillId="9" borderId="1" xfId="0" applyFont="1" applyFill="1" applyBorder="1" applyAlignment="1">
      <alignment horizontal="center" vertical="center"/>
    </xf>
    <xf numFmtId="0" fontId="51" fillId="9" borderId="22" xfId="0" applyFont="1" applyFill="1" applyBorder="1" applyAlignment="1">
      <alignment horizontal="center" vertical="center"/>
    </xf>
    <xf numFmtId="0" fontId="51" fillId="9" borderId="5" xfId="0" applyFont="1" applyFill="1" applyBorder="1" applyAlignment="1">
      <alignment horizontal="center" vertical="center"/>
    </xf>
    <xf numFmtId="0" fontId="56" fillId="11" borderId="2" xfId="0" applyFont="1" applyFill="1" applyBorder="1" applyAlignment="1">
      <alignment horizontal="center" vertical="center"/>
    </xf>
    <xf numFmtId="0" fontId="56" fillId="11" borderId="6" xfId="0" applyFont="1" applyFill="1" applyBorder="1" applyAlignment="1">
      <alignment horizontal="center" vertical="center"/>
    </xf>
    <xf numFmtId="0" fontId="53" fillId="12" borderId="3" xfId="0" applyFont="1" applyFill="1" applyBorder="1" applyAlignment="1">
      <alignment horizontal="center" vertical="center"/>
    </xf>
    <xf numFmtId="0" fontId="11" fillId="11" borderId="21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 indent="2"/>
    </xf>
    <xf numFmtId="0" fontId="55" fillId="0" borderId="4" xfId="0" applyFont="1" applyBorder="1" applyAlignment="1">
      <alignment horizontal="left" vertical="center" indent="2"/>
    </xf>
    <xf numFmtId="0" fontId="69" fillId="3" borderId="0" xfId="0" applyFont="1" applyFill="1" applyAlignment="1">
      <alignment horizontal="left" vertical="top"/>
    </xf>
    <xf numFmtId="49" fontId="72" fillId="16" borderId="1" xfId="2" applyNumberFormat="1" applyFont="1" applyFill="1" applyBorder="1" applyAlignment="1">
      <alignment horizontal="center" vertical="center" wrapText="1"/>
    </xf>
    <xf numFmtId="49" fontId="71" fillId="16" borderId="1" xfId="2" applyNumberFormat="1" applyFont="1" applyFill="1" applyBorder="1" applyAlignment="1">
      <alignment horizontal="center" vertical="center" wrapText="1"/>
    </xf>
    <xf numFmtId="0" fontId="64" fillId="3" borderId="1" xfId="0" applyFont="1" applyFill="1" applyBorder="1" applyAlignment="1">
      <alignment horizontal="center" vertical="center"/>
    </xf>
    <xf numFmtId="0" fontId="11" fillId="20" borderId="24" xfId="0" applyFont="1" applyFill="1" applyBorder="1" applyAlignment="1">
      <alignment horizontal="center" vertical="center"/>
    </xf>
    <xf numFmtId="0" fontId="11" fillId="20" borderId="15" xfId="0" applyFont="1" applyFill="1" applyBorder="1" applyAlignment="1">
      <alignment horizontal="center" vertical="center"/>
    </xf>
    <xf numFmtId="0" fontId="11" fillId="20" borderId="16" xfId="0" applyFont="1" applyFill="1" applyBorder="1" applyAlignment="1">
      <alignment horizontal="center" vertical="center"/>
    </xf>
    <xf numFmtId="0" fontId="9" fillId="20" borderId="13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49" fontId="71" fillId="16" borderId="1" xfId="2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0" borderId="22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center" vertical="center"/>
    </xf>
    <xf numFmtId="49" fontId="60" fillId="18" borderId="4" xfId="2" applyNumberFormat="1" applyFont="1" applyFill="1" applyBorder="1" applyAlignment="1">
      <alignment horizontal="center" vertical="center"/>
    </xf>
    <xf numFmtId="49" fontId="60" fillId="18" borderId="22" xfId="2" applyNumberFormat="1" applyFont="1" applyFill="1" applyBorder="1" applyAlignment="1">
      <alignment horizontal="center" vertical="center"/>
    </xf>
    <xf numFmtId="49" fontId="60" fillId="18" borderId="5" xfId="2" applyNumberFormat="1" applyFont="1" applyFill="1" applyBorder="1" applyAlignment="1">
      <alignment horizontal="center" vertical="center"/>
    </xf>
    <xf numFmtId="49" fontId="60" fillId="19" borderId="4" xfId="2" applyNumberFormat="1" applyFont="1" applyFill="1" applyBorder="1" applyAlignment="1">
      <alignment horizontal="center" vertical="center"/>
    </xf>
    <xf numFmtId="49" fontId="60" fillId="19" borderId="22" xfId="2" applyNumberFormat="1" applyFont="1" applyFill="1" applyBorder="1" applyAlignment="1">
      <alignment horizontal="center" vertical="center"/>
    </xf>
    <xf numFmtId="49" fontId="60" fillId="19" borderId="5" xfId="2" applyNumberFormat="1" applyFont="1" applyFill="1" applyBorder="1" applyAlignment="1">
      <alignment horizontal="center" vertical="center"/>
    </xf>
    <xf numFmtId="49" fontId="63" fillId="19" borderId="4" xfId="2" applyNumberFormat="1" applyFont="1" applyFill="1" applyBorder="1" applyAlignment="1">
      <alignment horizontal="center" vertical="center"/>
    </xf>
    <xf numFmtId="49" fontId="63" fillId="19" borderId="5" xfId="2" applyNumberFormat="1" applyFont="1" applyFill="1" applyBorder="1" applyAlignment="1">
      <alignment horizontal="center" vertical="center"/>
    </xf>
    <xf numFmtId="49" fontId="63" fillId="19" borderId="22" xfId="2" applyNumberFormat="1" applyFont="1" applyFill="1" applyBorder="1" applyAlignment="1">
      <alignment horizontal="center" vertical="center"/>
    </xf>
    <xf numFmtId="0" fontId="78" fillId="0" borderId="29" xfId="0" applyFont="1" applyBorder="1" applyAlignment="1">
      <alignment horizontal="left" vertical="center" wrapText="1" indent="1"/>
    </xf>
    <xf numFmtId="0" fontId="78" fillId="0" borderId="30" xfId="0" applyFont="1" applyBorder="1" applyAlignment="1">
      <alignment horizontal="left" vertical="center" wrapText="1" indent="1"/>
    </xf>
    <xf numFmtId="0" fontId="37" fillId="13" borderId="32" xfId="0" applyFont="1" applyFill="1" applyBorder="1" applyAlignment="1">
      <alignment horizontal="left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59" fillId="5" borderId="0" xfId="0" applyFont="1" applyFill="1" applyAlignment="1">
      <alignment horizontal="center" vertical="center"/>
    </xf>
    <xf numFmtId="0" fontId="57" fillId="5" borderId="0" xfId="0" applyFont="1" applyFill="1" applyAlignment="1">
      <alignment horizontal="center" vertical="center"/>
    </xf>
    <xf numFmtId="0" fontId="58" fillId="5" borderId="0" xfId="0" applyFont="1" applyFill="1" applyAlignment="1">
      <alignment horizontal="center" vertical="center"/>
    </xf>
    <xf numFmtId="0" fontId="37" fillId="13" borderId="0" xfId="0" applyFont="1" applyFill="1" applyAlignment="1">
      <alignment horizontal="left" vertical="center"/>
    </xf>
    <xf numFmtId="0" fontId="77" fillId="0" borderId="28" xfId="0" applyFont="1" applyBorder="1" applyAlignment="1">
      <alignment horizontal="left" vertical="center" indent="1"/>
    </xf>
    <xf numFmtId="0" fontId="77" fillId="0" borderId="28" xfId="0" applyFont="1" applyBorder="1" applyAlignment="1">
      <alignment horizontal="left" vertical="center" indent="2"/>
    </xf>
    <xf numFmtId="0" fontId="36" fillId="14" borderId="24" xfId="0" applyFont="1" applyFill="1" applyBorder="1" applyAlignment="1">
      <alignment horizontal="center" vertical="center"/>
    </xf>
    <xf numFmtId="0" fontId="36" fillId="14" borderId="15" xfId="0" applyFont="1" applyFill="1" applyBorder="1" applyAlignment="1">
      <alignment horizontal="center" vertical="center"/>
    </xf>
    <xf numFmtId="0" fontId="36" fillId="14" borderId="16" xfId="0" applyFont="1" applyFill="1" applyBorder="1" applyAlignment="1">
      <alignment horizontal="center" vertical="center"/>
    </xf>
    <xf numFmtId="0" fontId="51" fillId="14" borderId="33" xfId="0" applyFont="1" applyFill="1" applyBorder="1" applyAlignment="1">
      <alignment horizontal="center" vertical="center"/>
    </xf>
    <xf numFmtId="0" fontId="51" fillId="14" borderId="5" xfId="0" applyFont="1" applyFill="1" applyBorder="1" applyAlignment="1">
      <alignment horizontal="center" vertical="center"/>
    </xf>
    <xf numFmtId="0" fontId="51" fillId="14" borderId="4" xfId="0" applyFont="1" applyFill="1" applyBorder="1" applyAlignment="1">
      <alignment horizontal="center" vertical="center"/>
    </xf>
    <xf numFmtId="0" fontId="51" fillId="14" borderId="22" xfId="0" applyFont="1" applyFill="1" applyBorder="1" applyAlignment="1">
      <alignment horizontal="center" vertical="center"/>
    </xf>
    <xf numFmtId="0" fontId="78" fillId="0" borderId="29" xfId="0" applyFont="1" applyBorder="1" applyAlignment="1">
      <alignment horizontal="left" vertical="center" wrapText="1"/>
    </xf>
    <xf numFmtId="0" fontId="78" fillId="0" borderId="30" xfId="0" applyFont="1" applyBorder="1" applyAlignment="1">
      <alignment horizontal="left" vertical="center" wrapText="1"/>
    </xf>
    <xf numFmtId="0" fontId="78" fillId="0" borderId="31" xfId="0" applyFont="1" applyBorder="1" applyAlignment="1">
      <alignment horizontal="left" vertical="center" wrapText="1"/>
    </xf>
    <xf numFmtId="49" fontId="16" fillId="2" borderId="4" xfId="2" applyNumberFormat="1" applyFont="1" applyFill="1" applyBorder="1" applyAlignment="1">
      <alignment horizontal="center" vertical="center" wrapText="1"/>
    </xf>
    <xf numFmtId="49" fontId="16" fillId="2" borderId="22" xfId="2" applyNumberFormat="1" applyFont="1" applyFill="1" applyBorder="1" applyAlignment="1">
      <alignment horizontal="center" vertical="center" wrapText="1"/>
    </xf>
    <xf numFmtId="49" fontId="16" fillId="2" borderId="5" xfId="2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23" fillId="12" borderId="4" xfId="2" applyNumberFormat="1" applyFont="1" applyFill="1" applyBorder="1" applyAlignment="1">
      <alignment horizontal="center" vertical="center"/>
    </xf>
    <xf numFmtId="49" fontId="23" fillId="12" borderId="22" xfId="2" applyNumberFormat="1" applyFont="1" applyFill="1" applyBorder="1" applyAlignment="1">
      <alignment horizontal="center" vertical="center"/>
    </xf>
    <xf numFmtId="49" fontId="23" fillId="12" borderId="5" xfId="2" applyNumberFormat="1" applyFont="1" applyFill="1" applyBorder="1" applyAlignment="1">
      <alignment horizontal="center" vertical="center"/>
    </xf>
  </cellXfs>
  <cellStyles count="115">
    <cellStyle name="一般" xfId="0" builtinId="0"/>
    <cellStyle name="一般 18" xfId="9" xr:uid="{00000000-0005-0000-0000-000001000000}"/>
    <cellStyle name="一般 2 3" xfId="1" xr:uid="{00000000-0005-0000-0000-000002000000}"/>
    <cellStyle name="一般 20" xfId="10" xr:uid="{00000000-0005-0000-0000-000003000000}"/>
    <cellStyle name="一般_Sheet1" xfId="2" xr:uid="{00000000-0005-0000-0000-000004000000}"/>
    <cellStyle name="已瀏覽過的超連結" xfId="4" builtinId="9" hidden="1"/>
    <cellStyle name="已瀏覽過的超連結" xfId="6" builtinId="9" hidden="1"/>
    <cellStyle name="已瀏覽過的超連結" xfId="8" builtinId="9" hidden="1"/>
    <cellStyle name="已瀏覽過的超連結" xfId="12" builtinId="9" hidden="1"/>
    <cellStyle name="已瀏覽過的超連結" xfId="14" builtinId="9" hidden="1"/>
    <cellStyle name="已瀏覽過的超連結" xfId="16" builtinId="9" hidden="1"/>
    <cellStyle name="已瀏覽過的超連結" xfId="18" builtinId="9" hidden="1"/>
    <cellStyle name="已瀏覽過的超連結" xfId="20" builtinId="9" hidden="1"/>
    <cellStyle name="已瀏覽過的超連結" xfId="22" builtinId="9" hidden="1"/>
    <cellStyle name="已瀏覽過的超連結" xfId="24" builtinId="9" hidden="1"/>
    <cellStyle name="已瀏覽過的超連結" xfId="26" builtinId="9" hidden="1"/>
    <cellStyle name="已瀏覽過的超連結" xfId="28" builtinId="9" hidden="1"/>
    <cellStyle name="已瀏覽過的超連結" xfId="30" builtinId="9" hidden="1"/>
    <cellStyle name="已瀏覽過的超連結" xfId="32" builtinId="9" hidden="1"/>
    <cellStyle name="已瀏覽過的超連結" xfId="34" builtinId="9" hidden="1"/>
    <cellStyle name="已瀏覽過的超連結" xfId="36" builtinId="9" hidden="1"/>
    <cellStyle name="已瀏覽過的超連結" xfId="38" builtinId="9" hidden="1"/>
    <cellStyle name="已瀏覽過的超連結" xfId="40" builtinId="9" hidden="1"/>
    <cellStyle name="已瀏覽過的超連結" xfId="43" builtinId="9" hidden="1"/>
    <cellStyle name="已瀏覽過的超連結" xfId="45" builtinId="9" hidden="1"/>
    <cellStyle name="已瀏覽過的超連結" xfId="47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6" builtinId="9" hidden="1"/>
    <cellStyle name="已瀏覽過的超連結" xfId="78" builtinId="9" hidden="1"/>
    <cellStyle name="已瀏覽過的超連結" xfId="41" builtinId="9" hidden="1"/>
    <cellStyle name="已瀏覽過的超連結" xfId="80" builtinId="9" hidden="1"/>
    <cellStyle name="已瀏覽過的超連結" xfId="82" builtinId="9" hidden="1"/>
    <cellStyle name="已瀏覽過的超連結" xfId="84" builtinId="9" hidden="1"/>
    <cellStyle name="已瀏覽過的超連結" xfId="86" builtinId="9" hidden="1"/>
    <cellStyle name="已瀏覽過的超連結" xfId="88" builtinId="9" hidden="1"/>
    <cellStyle name="已瀏覽過的超連結" xfId="90" builtinId="9" hidden="1"/>
    <cellStyle name="已瀏覽過的超連結" xfId="92" builtinId="9" hidden="1"/>
    <cellStyle name="已瀏覽過的超連結" xfId="94" builtinId="9" hidden="1"/>
    <cellStyle name="已瀏覽過的超連結" xfId="96" builtinId="9" hidden="1"/>
    <cellStyle name="已瀏覽過的超連結" xfId="98" builtinId="9" hidden="1"/>
    <cellStyle name="已瀏覽過的超連結" xfId="100" builtinId="9" hidden="1"/>
    <cellStyle name="已瀏覽過的超連結" xfId="102" builtinId="9" hidden="1"/>
    <cellStyle name="已瀏覽過的超連結" xfId="104" builtinId="9" hidden="1"/>
    <cellStyle name="已瀏覽過的超連結" xfId="106" builtinId="9" hidden="1"/>
    <cellStyle name="已瀏覽過的超連結" xfId="108" builtinId="9" hidden="1"/>
    <cellStyle name="已瀏覽過的超連結" xfId="110" builtinId="9" hidden="1"/>
    <cellStyle name="已瀏覽過的超連結" xfId="112" builtinId="9" hidden="1"/>
    <cellStyle name="已瀏覽過的超連結" xfId="114" builtinId="9" hidden="1"/>
    <cellStyle name="超連結" xfId="3" builtinId="8" hidden="1"/>
    <cellStyle name="超連結" xfId="5" builtinId="8" hidden="1"/>
    <cellStyle name="超連結" xfId="7" builtinId="8" hidden="1"/>
    <cellStyle name="超連結" xfId="11" builtinId="8" hidden="1"/>
    <cellStyle name="超連結" xfId="13" builtinId="8" hidden="1"/>
    <cellStyle name="超連結" xfId="15" builtinId="8" hidden="1"/>
    <cellStyle name="超連結" xfId="17" builtinId="8" hidden="1"/>
    <cellStyle name="超連結" xfId="19" builtinId="8" hidden="1"/>
    <cellStyle name="超連結" xfId="21" builtinId="8" hidden="1"/>
    <cellStyle name="超連結" xfId="23" builtinId="8" hidden="1"/>
    <cellStyle name="超連結" xfId="25" builtinId="8" hidden="1"/>
    <cellStyle name="超連結" xfId="27" builtinId="8" hidden="1"/>
    <cellStyle name="超連結" xfId="29" builtinId="8" hidden="1"/>
    <cellStyle name="超連結" xfId="31" builtinId="8" hidden="1"/>
    <cellStyle name="超連結" xfId="33" builtinId="8" hidden="1"/>
    <cellStyle name="超連結" xfId="35" builtinId="8" hidden="1"/>
    <cellStyle name="超連結" xfId="37" builtinId="8" hidden="1"/>
    <cellStyle name="超連結" xfId="39" builtinId="8" hidden="1"/>
    <cellStyle name="超連結" xfId="42" builtinId="8" hidden="1"/>
    <cellStyle name="超連結" xfId="44" builtinId="8" hidden="1"/>
    <cellStyle name="超連結" xfId="46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5" builtinId="8" hidden="1"/>
    <cellStyle name="超連結" xfId="77" builtinId="8" hidden="1"/>
    <cellStyle name="超連結" xfId="48" builtinId="8" hidden="1"/>
    <cellStyle name="超連結" xfId="79" builtinId="8" hidden="1"/>
    <cellStyle name="超連結" xfId="81" builtinId="8" hidden="1"/>
    <cellStyle name="超連結" xfId="83" builtinId="8" hidden="1"/>
    <cellStyle name="超連結" xfId="85" builtinId="8" hidden="1"/>
    <cellStyle name="超連結" xfId="87" builtinId="8" hidden="1"/>
    <cellStyle name="超連結" xfId="89" builtinId="8" hidden="1"/>
    <cellStyle name="超連結" xfId="91" builtinId="8" hidden="1"/>
    <cellStyle name="超連結" xfId="93" builtinId="8" hidden="1"/>
    <cellStyle name="超連結" xfId="95" builtinId="8" hidden="1"/>
    <cellStyle name="超連結" xfId="97" builtinId="8" hidden="1"/>
    <cellStyle name="超連結" xfId="99" builtinId="8" hidden="1"/>
    <cellStyle name="超連結" xfId="101" builtinId="8" hidden="1"/>
    <cellStyle name="超連結" xfId="103" builtinId="8" hidden="1"/>
    <cellStyle name="超連結" xfId="105" builtinId="8" hidden="1"/>
    <cellStyle name="超連結" xfId="107" builtinId="8" hidden="1"/>
    <cellStyle name="超連結" xfId="109" builtinId="8" hidden="1"/>
    <cellStyle name="超連結" xfId="111" builtinId="8" hidden="1"/>
    <cellStyle name="超連結" xfId="113" builtinId="8" hidden="1"/>
  </cellStyles>
  <dxfs count="1">
    <dxf>
      <font>
        <color rgb="FFFF0000"/>
      </font>
    </dxf>
  </dxfs>
  <tableStyles count="0" defaultTableStyle="TableStyleMedium9" defaultPivotStyle="PivotStyleLight16"/>
  <colors>
    <mruColors>
      <color rgb="FFB7EBC1"/>
      <color rgb="FFB6DF89"/>
      <color rgb="FFC4EECC"/>
      <color rgb="FFC1E9FF"/>
      <color rgb="FFA2D668"/>
      <color rgb="FFCEB0D8"/>
      <color rgb="FFF1C6AB"/>
      <color rgb="FFAA9F6A"/>
      <color rgb="FFA49960"/>
      <color rgb="FF25C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1"/>
  <sheetViews>
    <sheetView tabSelected="1" topLeftCell="A2" zoomScaleNormal="100" workbookViewId="0">
      <selection activeCell="G3" sqref="G3:G4"/>
    </sheetView>
  </sheetViews>
  <sheetFormatPr defaultColWidth="8.90625" defaultRowHeight="15.5" x14ac:dyDescent="0.4"/>
  <cols>
    <col min="1" max="1" width="13.36328125" style="5" customWidth="1"/>
    <col min="2" max="2" width="43.36328125" style="5" customWidth="1"/>
    <col min="3" max="3" width="14.453125" style="5" bestFit="1" customWidth="1"/>
    <col min="4" max="4" width="12.453125" style="5" customWidth="1"/>
    <col min="5" max="5" width="12.90625" style="5" bestFit="1" customWidth="1"/>
    <col min="6" max="6" width="16.90625" style="5" customWidth="1"/>
    <col min="7" max="7" width="12.6328125" style="5" bestFit="1" customWidth="1"/>
    <col min="8" max="9" width="8.6328125" style="3" customWidth="1"/>
    <col min="10" max="17" width="8.90625" style="3"/>
    <col min="18" max="18" width="9" style="3" customWidth="1"/>
    <col min="19" max="22" width="8.90625" style="3"/>
    <col min="23" max="23" width="8.90625" style="5"/>
    <col min="24" max="24" width="13.36328125" style="5" customWidth="1"/>
    <col min="25" max="25" width="16.08984375" style="5" customWidth="1"/>
    <col min="26" max="26" width="11.08984375" style="5" customWidth="1"/>
    <col min="27" max="27" width="16.08984375" style="5" customWidth="1"/>
    <col min="28" max="28" width="15" style="5" customWidth="1"/>
    <col min="29" max="16384" width="8.90625" style="5"/>
  </cols>
  <sheetData>
    <row r="1" spans="1:23" ht="5.4" customHeight="1" x14ac:dyDescent="0.4"/>
    <row r="2" spans="1:23" ht="22.65" customHeight="1" x14ac:dyDescent="0.4">
      <c r="A2" s="82" t="s">
        <v>14</v>
      </c>
      <c r="B2" s="85" t="s">
        <v>85</v>
      </c>
      <c r="C2" s="90" t="s">
        <v>86</v>
      </c>
      <c r="D2" s="91"/>
      <c r="E2" s="92"/>
      <c r="F2" s="92"/>
      <c r="G2" s="93"/>
      <c r="H2" s="88" t="s">
        <v>64</v>
      </c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2"/>
    </row>
    <row r="3" spans="1:23" ht="18.899999999999999" customHeight="1" x14ac:dyDescent="0.4">
      <c r="A3" s="83"/>
      <c r="B3" s="86"/>
      <c r="C3" s="94" t="s">
        <v>2</v>
      </c>
      <c r="D3" s="96" t="s">
        <v>3</v>
      </c>
      <c r="E3" s="96" t="s">
        <v>1</v>
      </c>
      <c r="F3" s="96" t="s">
        <v>67</v>
      </c>
      <c r="G3" s="98" t="s">
        <v>63</v>
      </c>
      <c r="H3" s="24">
        <v>1</v>
      </c>
      <c r="I3" s="25">
        <v>2</v>
      </c>
      <c r="J3" s="25">
        <v>3</v>
      </c>
      <c r="K3" s="25">
        <v>4</v>
      </c>
      <c r="L3" s="25">
        <v>5</v>
      </c>
      <c r="M3" s="25">
        <v>6</v>
      </c>
      <c r="N3" s="25">
        <v>7</v>
      </c>
      <c r="O3" s="25">
        <v>8</v>
      </c>
      <c r="P3" s="25">
        <v>9</v>
      </c>
      <c r="Q3" s="25">
        <v>10</v>
      </c>
      <c r="R3" s="25">
        <v>11</v>
      </c>
      <c r="S3" s="25">
        <v>12</v>
      </c>
      <c r="T3" s="25">
        <v>13</v>
      </c>
      <c r="U3" s="25">
        <v>14</v>
      </c>
      <c r="V3" s="26">
        <v>15</v>
      </c>
      <c r="W3" s="2"/>
    </row>
    <row r="4" spans="1:23" ht="30.75" customHeight="1" x14ac:dyDescent="0.4">
      <c r="A4" s="84"/>
      <c r="B4" s="87"/>
      <c r="C4" s="95"/>
      <c r="D4" s="97"/>
      <c r="E4" s="97"/>
      <c r="F4" s="97"/>
      <c r="G4" s="99"/>
      <c r="H4" s="77" t="s">
        <v>74</v>
      </c>
      <c r="I4" s="78"/>
      <c r="J4" s="79" t="s">
        <v>5</v>
      </c>
      <c r="K4" s="79"/>
      <c r="L4" s="80" t="s">
        <v>6</v>
      </c>
      <c r="M4" s="80"/>
      <c r="N4" s="81"/>
      <c r="O4" s="48" t="s">
        <v>158</v>
      </c>
      <c r="P4" s="49" t="s">
        <v>159</v>
      </c>
      <c r="Q4" s="49" t="s">
        <v>76</v>
      </c>
      <c r="R4" s="50" t="s">
        <v>62</v>
      </c>
      <c r="S4" s="50" t="s">
        <v>0</v>
      </c>
      <c r="T4" s="50" t="s">
        <v>81</v>
      </c>
      <c r="U4" s="50" t="s">
        <v>79</v>
      </c>
      <c r="V4" s="51" t="s">
        <v>80</v>
      </c>
      <c r="W4" s="1"/>
    </row>
    <row r="5" spans="1:23" x14ac:dyDescent="0.4">
      <c r="A5" s="21">
        <v>1</v>
      </c>
      <c r="B5" s="7" t="str">
        <f t="shared" ref="B5" si="0">C5&amp;"/"&amp;D5&amp;"/"&amp;E5&amp;"/"&amp;F5&amp;"//"&amp;G5</f>
        <v>GT-BN98 PRO/US/11/P_US//PW</v>
      </c>
      <c r="C5" s="34" t="s">
        <v>153</v>
      </c>
      <c r="D5" s="35" t="s">
        <v>115</v>
      </c>
      <c r="E5" s="36">
        <v>11</v>
      </c>
      <c r="F5" s="36" t="s">
        <v>116</v>
      </c>
      <c r="G5" s="37" t="s">
        <v>119</v>
      </c>
      <c r="H5" s="21">
        <v>9</v>
      </c>
      <c r="I5" s="21">
        <v>0</v>
      </c>
      <c r="J5" s="21" t="s">
        <v>10</v>
      </c>
      <c r="K5" s="21" t="s">
        <v>11</v>
      </c>
      <c r="L5" s="27">
        <v>0</v>
      </c>
      <c r="M5" s="27" t="s">
        <v>59</v>
      </c>
      <c r="N5" s="27" t="s">
        <v>53</v>
      </c>
      <c r="O5" s="53">
        <v>0</v>
      </c>
      <c r="P5" s="38" t="s">
        <v>160</v>
      </c>
      <c r="Q5" s="21" t="s">
        <v>114</v>
      </c>
      <c r="R5" s="23" t="s">
        <v>117</v>
      </c>
      <c r="S5" s="23">
        <v>1</v>
      </c>
      <c r="T5" s="27" t="s">
        <v>59</v>
      </c>
      <c r="U5" s="6">
        <v>0</v>
      </c>
      <c r="V5" s="8" t="s">
        <v>118</v>
      </c>
      <c r="W5" s="3"/>
    </row>
    <row r="6" spans="1:23" x14ac:dyDescent="0.4">
      <c r="A6" s="21"/>
      <c r="B6" s="7"/>
      <c r="C6" s="34"/>
      <c r="D6" s="35"/>
      <c r="E6" s="36"/>
      <c r="F6" s="36"/>
      <c r="G6" s="37"/>
      <c r="H6" s="21"/>
      <c r="I6" s="21"/>
      <c r="J6" s="21"/>
      <c r="K6" s="21"/>
      <c r="L6" s="27"/>
      <c r="M6" s="27"/>
      <c r="N6" s="27"/>
      <c r="O6" s="53"/>
      <c r="P6" s="38"/>
      <c r="Q6" s="21"/>
      <c r="R6" s="23"/>
      <c r="S6" s="23"/>
      <c r="T6" s="27"/>
      <c r="U6" s="6"/>
      <c r="V6" s="8"/>
      <c r="W6" s="3"/>
    </row>
    <row r="7" spans="1:23" x14ac:dyDescent="0.4">
      <c r="A7" s="21"/>
      <c r="B7" s="7"/>
      <c r="C7" s="34"/>
      <c r="D7" s="35"/>
      <c r="E7" s="36"/>
      <c r="F7" s="36"/>
      <c r="G7" s="37"/>
      <c r="H7" s="21"/>
      <c r="I7" s="21"/>
      <c r="J7" s="21"/>
      <c r="K7" s="21"/>
      <c r="L7" s="27"/>
      <c r="M7" s="27"/>
      <c r="N7" s="27"/>
      <c r="O7" s="53"/>
      <c r="P7" s="38"/>
      <c r="Q7" s="21"/>
      <c r="R7" s="23"/>
      <c r="S7" s="23"/>
      <c r="T7" s="27"/>
      <c r="U7" s="6"/>
      <c r="V7" s="8"/>
      <c r="W7" s="3"/>
    </row>
    <row r="8" spans="1:23" x14ac:dyDescent="0.4">
      <c r="A8" s="21"/>
      <c r="B8" s="7"/>
      <c r="C8" s="34"/>
      <c r="D8" s="35"/>
      <c r="E8" s="36"/>
      <c r="F8" s="36"/>
      <c r="G8" s="37"/>
      <c r="H8" s="21"/>
      <c r="I8" s="21"/>
      <c r="J8" s="21"/>
      <c r="K8" s="21"/>
      <c r="L8" s="27"/>
      <c r="M8" s="27"/>
      <c r="N8" s="27"/>
      <c r="O8" s="53"/>
      <c r="P8" s="38"/>
      <c r="Q8" s="21"/>
      <c r="R8" s="23"/>
      <c r="S8" s="23"/>
      <c r="T8" s="27"/>
      <c r="U8" s="6"/>
      <c r="V8" s="8"/>
      <c r="W8" s="3"/>
    </row>
    <row r="9" spans="1:23" x14ac:dyDescent="0.4">
      <c r="A9" s="21"/>
      <c r="B9" s="7"/>
      <c r="C9" s="34"/>
      <c r="D9" s="35"/>
      <c r="E9" s="36"/>
      <c r="F9" s="36"/>
      <c r="G9" s="37"/>
      <c r="H9" s="21"/>
      <c r="I9" s="21"/>
      <c r="J9" s="21"/>
      <c r="K9" s="21"/>
      <c r="L9" s="27"/>
      <c r="M9" s="27"/>
      <c r="N9" s="27"/>
      <c r="O9" s="53"/>
      <c r="P9" s="38"/>
      <c r="Q9" s="21"/>
      <c r="R9" s="23"/>
      <c r="S9" s="23"/>
      <c r="T9" s="27"/>
      <c r="U9" s="6"/>
      <c r="V9" s="8"/>
      <c r="W9" s="3"/>
    </row>
    <row r="10" spans="1:23" x14ac:dyDescent="0.4">
      <c r="A10" s="21"/>
      <c r="B10" s="7"/>
      <c r="C10" s="34"/>
      <c r="D10" s="35"/>
      <c r="E10" s="36"/>
      <c r="F10" s="36"/>
      <c r="G10" s="37"/>
      <c r="H10" s="21"/>
      <c r="I10" s="21"/>
      <c r="J10" s="21"/>
      <c r="K10" s="21"/>
      <c r="L10" s="27"/>
      <c r="M10" s="27"/>
      <c r="N10" s="27"/>
      <c r="O10" s="53"/>
      <c r="P10" s="38"/>
      <c r="Q10" s="21"/>
      <c r="R10" s="23"/>
      <c r="S10" s="23"/>
      <c r="T10" s="27"/>
      <c r="U10" s="6"/>
      <c r="V10" s="8"/>
      <c r="W10" s="3"/>
    </row>
    <row r="11" spans="1:23" x14ac:dyDescent="0.4">
      <c r="A11" s="21"/>
      <c r="B11" s="7"/>
      <c r="C11" s="34"/>
      <c r="D11" s="35"/>
      <c r="E11" s="36"/>
      <c r="F11" s="36"/>
      <c r="G11" s="37"/>
      <c r="H11" s="21"/>
      <c r="I11" s="21"/>
      <c r="J11" s="21"/>
      <c r="K11" s="21"/>
      <c r="L11" s="27"/>
      <c r="M11" s="27"/>
      <c r="N11" s="27"/>
      <c r="O11" s="53"/>
      <c r="P11" s="38"/>
      <c r="Q11" s="21"/>
      <c r="R11" s="23"/>
      <c r="S11" s="23"/>
      <c r="T11" s="27"/>
      <c r="U11" s="6"/>
      <c r="V11" s="8"/>
      <c r="W11" s="3"/>
    </row>
  </sheetData>
  <dataConsolidate/>
  <mergeCells count="12">
    <mergeCell ref="H4:I4"/>
    <mergeCell ref="J4:K4"/>
    <mergeCell ref="L4:N4"/>
    <mergeCell ref="A2:A4"/>
    <mergeCell ref="B2:B4"/>
    <mergeCell ref="H2:V2"/>
    <mergeCell ref="C2:G2"/>
    <mergeCell ref="C3:C4"/>
    <mergeCell ref="D3:D4"/>
    <mergeCell ref="E3:E4"/>
    <mergeCell ref="F3:F4"/>
    <mergeCell ref="G3:G4"/>
  </mergeCells>
  <phoneticPr fontId="8" type="noConversion"/>
  <pageMargins left="0.7" right="0.7" top="0.75" bottom="0.75" header="0.3" footer="0.3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O37"/>
  <sheetViews>
    <sheetView topLeftCell="A9" zoomScaleNormal="100" workbookViewId="0">
      <selection activeCell="N39" sqref="N39"/>
    </sheetView>
  </sheetViews>
  <sheetFormatPr defaultColWidth="8.90625" defaultRowHeight="15.5" x14ac:dyDescent="0.4"/>
  <cols>
    <col min="1" max="1" width="8.90625" style="5"/>
    <col min="2" max="3" width="8.6328125" style="3" customWidth="1"/>
    <col min="4" max="7" width="8.90625" style="3"/>
    <col min="8" max="10" width="11.90625" style="3" customWidth="1"/>
    <col min="11" max="11" width="8.90625" style="3"/>
    <col min="12" max="12" width="9" style="3" customWidth="1"/>
    <col min="13" max="16" width="8.90625" style="3"/>
    <col min="17" max="17" width="70.81640625" style="5" customWidth="1"/>
    <col min="18" max="16384" width="8.90625" style="5"/>
  </cols>
  <sheetData>
    <row r="2" spans="1:41" ht="18.5" x14ac:dyDescent="0.4">
      <c r="B2" s="55" t="s">
        <v>96</v>
      </c>
      <c r="C2" s="5"/>
      <c r="D2" s="5"/>
    </row>
    <row r="3" spans="1:41" ht="18" x14ac:dyDescent="0.4">
      <c r="B3" s="108" t="s">
        <v>100</v>
      </c>
      <c r="C3" s="108"/>
      <c r="D3" s="108"/>
      <c r="E3" s="108"/>
      <c r="F3" s="108"/>
      <c r="G3" s="108"/>
    </row>
    <row r="4" spans="1:41" ht="31.65" customHeight="1" x14ac:dyDescent="0.45">
      <c r="B4" s="54" t="s">
        <v>95</v>
      </c>
      <c r="C4" s="5"/>
      <c r="D4" s="5"/>
    </row>
    <row r="5" spans="1:41" s="60" customFormat="1" ht="23.9" customHeight="1" x14ac:dyDescent="0.4">
      <c r="B5" s="56" t="s">
        <v>87</v>
      </c>
      <c r="C5" s="57"/>
      <c r="D5" s="57"/>
      <c r="E5" s="58"/>
      <c r="F5" s="58"/>
      <c r="G5" s="59"/>
      <c r="H5" s="59"/>
      <c r="I5" s="59"/>
    </row>
    <row r="6" spans="1:41" s="60" customFormat="1" ht="36.9" customHeight="1" x14ac:dyDescent="0.4">
      <c r="B6" s="109" t="s">
        <v>110</v>
      </c>
      <c r="C6" s="110"/>
      <c r="D6" s="110"/>
      <c r="E6" s="110"/>
      <c r="F6" s="117" t="s">
        <v>101</v>
      </c>
      <c r="G6" s="117"/>
      <c r="H6" s="117"/>
      <c r="I6" s="64" t="s">
        <v>102</v>
      </c>
      <c r="J6" s="117" t="s">
        <v>103</v>
      </c>
      <c r="K6" s="117"/>
      <c r="L6" s="117"/>
      <c r="M6" s="117"/>
      <c r="N6" s="3"/>
      <c r="O6" s="3"/>
      <c r="P6" s="3"/>
      <c r="Q6" s="3"/>
    </row>
    <row r="7" spans="1:41" s="60" customFormat="1" ht="23.9" customHeight="1" x14ac:dyDescent="0.4">
      <c r="B7" s="111" t="s">
        <v>91</v>
      </c>
      <c r="C7" s="111"/>
      <c r="D7" s="111"/>
      <c r="E7" s="111"/>
      <c r="F7" s="118" t="s">
        <v>111</v>
      </c>
      <c r="G7" s="118"/>
      <c r="H7" s="118"/>
      <c r="I7" s="6">
        <v>1</v>
      </c>
      <c r="J7" s="119" t="s">
        <v>112</v>
      </c>
      <c r="K7" s="119"/>
      <c r="L7" s="119"/>
      <c r="M7" s="119"/>
      <c r="N7" s="3"/>
      <c r="O7" s="3"/>
      <c r="P7" s="3"/>
      <c r="Q7" s="3"/>
    </row>
    <row r="8" spans="1:41" ht="24.75" customHeight="1" thickBot="1" x14ac:dyDescent="0.45"/>
    <row r="9" spans="1:41" ht="29.25" customHeight="1" x14ac:dyDescent="0.4">
      <c r="B9" s="112" t="s">
        <v>66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4"/>
      <c r="Q9" s="2"/>
    </row>
    <row r="10" spans="1:41" ht="18.899999999999999" customHeight="1" x14ac:dyDescent="0.4">
      <c r="B10" s="66">
        <v>1</v>
      </c>
      <c r="C10" s="67">
        <v>2</v>
      </c>
      <c r="D10" s="67">
        <v>3</v>
      </c>
      <c r="E10" s="67">
        <v>4</v>
      </c>
      <c r="F10" s="67">
        <v>5</v>
      </c>
      <c r="G10" s="67">
        <v>6</v>
      </c>
      <c r="H10" s="67">
        <v>7</v>
      </c>
      <c r="I10" s="67">
        <v>8</v>
      </c>
      <c r="J10" s="67">
        <v>9</v>
      </c>
      <c r="K10" s="67">
        <v>10</v>
      </c>
      <c r="L10" s="67">
        <v>11</v>
      </c>
      <c r="M10" s="68">
        <v>12</v>
      </c>
      <c r="N10" s="68">
        <v>13</v>
      </c>
      <c r="O10" s="67">
        <v>14</v>
      </c>
      <c r="P10" s="68">
        <v>15</v>
      </c>
      <c r="Q10" s="2"/>
    </row>
    <row r="11" spans="1:41" ht="24.75" customHeight="1" x14ac:dyDescent="0.4">
      <c r="B11" s="115" t="s">
        <v>104</v>
      </c>
      <c r="C11" s="116"/>
      <c r="D11" s="116" t="s">
        <v>5</v>
      </c>
      <c r="E11" s="116"/>
      <c r="F11" s="120" t="s">
        <v>6</v>
      </c>
      <c r="G11" s="120"/>
      <c r="H11" s="121"/>
      <c r="I11" s="69" t="s">
        <v>105</v>
      </c>
      <c r="J11" s="70" t="s">
        <v>106</v>
      </c>
      <c r="K11" s="69" t="s">
        <v>107</v>
      </c>
      <c r="L11" s="69" t="s">
        <v>107</v>
      </c>
      <c r="M11" s="71" t="s">
        <v>62</v>
      </c>
      <c r="N11" s="69" t="s">
        <v>105</v>
      </c>
      <c r="O11" s="72" t="s">
        <v>108</v>
      </c>
      <c r="P11" s="73" t="s">
        <v>105</v>
      </c>
      <c r="Q11" s="1"/>
    </row>
    <row r="12" spans="1:41" ht="26.4" customHeight="1" thickBot="1" x14ac:dyDescent="0.45">
      <c r="B12" s="10">
        <v>8</v>
      </c>
      <c r="C12" s="11">
        <v>9</v>
      </c>
      <c r="D12" s="11" t="s">
        <v>4</v>
      </c>
      <c r="E12" s="11" t="s">
        <v>8</v>
      </c>
      <c r="F12" s="61">
        <f>'90編碼原則'!L5</f>
        <v>0</v>
      </c>
      <c r="G12" s="61" t="str">
        <f>'90編碼原則'!M5</f>
        <v>A</v>
      </c>
      <c r="H12" s="61" t="str">
        <f>'90編碼原則'!N5</f>
        <v>N</v>
      </c>
      <c r="I12" s="41">
        <v>0</v>
      </c>
      <c r="J12" s="65" t="s">
        <v>109</v>
      </c>
      <c r="K12" s="41" t="s">
        <v>59</v>
      </c>
      <c r="L12" s="41" t="s">
        <v>71</v>
      </c>
      <c r="M12" s="61"/>
      <c r="N12" s="41">
        <v>0</v>
      </c>
      <c r="O12" s="61"/>
      <c r="P12" s="62">
        <v>0</v>
      </c>
    </row>
    <row r="14" spans="1:41" ht="23.9" customHeight="1" x14ac:dyDescent="0.45">
      <c r="B14" s="54" t="s">
        <v>61</v>
      </c>
    </row>
    <row r="15" spans="1:41" customFormat="1" ht="24.75" customHeight="1" x14ac:dyDescent="0.4">
      <c r="A15" s="20"/>
      <c r="B15" s="122" t="s">
        <v>97</v>
      </c>
      <c r="C15" s="123"/>
      <c r="D15" s="124"/>
      <c r="E15" s="125" t="s">
        <v>98</v>
      </c>
      <c r="F15" s="126"/>
      <c r="G15" s="127"/>
      <c r="H15" s="125" t="s">
        <v>99</v>
      </c>
      <c r="I15" s="126"/>
      <c r="J15" s="127"/>
      <c r="K15" s="128" t="s">
        <v>88</v>
      </c>
      <c r="L15" s="129"/>
      <c r="M15" s="128" t="s">
        <v>89</v>
      </c>
      <c r="N15" s="130"/>
      <c r="O15" s="129"/>
      <c r="P15" s="63" t="s">
        <v>12</v>
      </c>
      <c r="Q15" s="74" t="s">
        <v>90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customFormat="1" ht="24.75" customHeight="1" x14ac:dyDescent="0.4">
      <c r="A16" s="20"/>
      <c r="B16" s="100" t="s">
        <v>125</v>
      </c>
      <c r="C16" s="100"/>
      <c r="D16" s="100"/>
      <c r="E16" s="100" t="s">
        <v>144</v>
      </c>
      <c r="F16" s="100"/>
      <c r="G16" s="101"/>
      <c r="H16" s="106" t="s">
        <v>121</v>
      </c>
      <c r="I16" s="106"/>
      <c r="J16" s="107"/>
      <c r="K16" s="102" t="s">
        <v>120</v>
      </c>
      <c r="L16" s="103"/>
      <c r="M16" s="100" t="s">
        <v>134</v>
      </c>
      <c r="N16" s="100"/>
      <c r="O16" s="100"/>
      <c r="P16" s="14">
        <v>1</v>
      </c>
      <c r="Q16" s="75" t="s">
        <v>135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customFormat="1" ht="24.75" customHeight="1" x14ac:dyDescent="0.4">
      <c r="A17" s="20"/>
      <c r="B17" s="100" t="s">
        <v>126</v>
      </c>
      <c r="C17" s="100"/>
      <c r="D17" s="100"/>
      <c r="E17" s="100"/>
      <c r="F17" s="100"/>
      <c r="G17" s="101"/>
      <c r="H17" s="100"/>
      <c r="I17" s="100"/>
      <c r="J17" s="101"/>
      <c r="K17" s="102"/>
      <c r="L17" s="103"/>
      <c r="M17" s="100"/>
      <c r="N17" s="100"/>
      <c r="O17" s="100"/>
      <c r="P17" s="14"/>
      <c r="Q17" s="13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customFormat="1" ht="24.75" customHeight="1" x14ac:dyDescent="0.4">
      <c r="A18" s="20"/>
      <c r="B18" s="100"/>
      <c r="C18" s="100"/>
      <c r="D18" s="100"/>
      <c r="E18" s="100"/>
      <c r="F18" s="100"/>
      <c r="G18" s="101"/>
      <c r="H18" s="100"/>
      <c r="I18" s="100"/>
      <c r="J18" s="101"/>
      <c r="K18" s="102"/>
      <c r="L18" s="103"/>
      <c r="M18" s="100"/>
      <c r="N18" s="100"/>
      <c r="O18" s="100"/>
      <c r="P18" s="14"/>
      <c r="Q18" s="13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customFormat="1" ht="24.75" customHeight="1" x14ac:dyDescent="0.4">
      <c r="A19" s="20"/>
      <c r="B19" s="100"/>
      <c r="C19" s="100"/>
      <c r="D19" s="100"/>
      <c r="E19" s="100"/>
      <c r="F19" s="100"/>
      <c r="G19" s="101"/>
      <c r="H19" s="100"/>
      <c r="I19" s="100"/>
      <c r="J19" s="101"/>
      <c r="K19" s="102"/>
      <c r="L19" s="103"/>
      <c r="M19" s="100"/>
      <c r="N19" s="100"/>
      <c r="O19" s="100"/>
      <c r="P19" s="14"/>
      <c r="Q19" s="13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customFormat="1" ht="24.75" customHeight="1" x14ac:dyDescent="0.4">
      <c r="A20" s="20"/>
      <c r="B20" s="101" t="s">
        <v>127</v>
      </c>
      <c r="C20" s="104"/>
      <c r="D20" s="105"/>
      <c r="E20" s="100" t="s">
        <v>145</v>
      </c>
      <c r="F20" s="100"/>
      <c r="G20" s="101"/>
      <c r="H20" s="106" t="s">
        <v>122</v>
      </c>
      <c r="I20" s="106"/>
      <c r="J20" s="107"/>
      <c r="K20" s="102" t="s">
        <v>120</v>
      </c>
      <c r="L20" s="103"/>
      <c r="M20" s="100" t="s">
        <v>134</v>
      </c>
      <c r="N20" s="100"/>
      <c r="O20" s="100"/>
      <c r="P20" s="14">
        <v>1</v>
      </c>
      <c r="Q20" s="75" t="s">
        <v>135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customFormat="1" ht="24.75" customHeight="1" x14ac:dyDescent="0.4">
      <c r="A21" s="20"/>
      <c r="B21" s="100"/>
      <c r="C21" s="100"/>
      <c r="D21" s="100"/>
      <c r="E21" s="100"/>
      <c r="F21" s="100"/>
      <c r="G21" s="101"/>
      <c r="H21" s="100"/>
      <c r="I21" s="100"/>
      <c r="J21" s="101"/>
      <c r="K21" s="102"/>
      <c r="L21" s="103"/>
      <c r="M21" s="100"/>
      <c r="N21" s="100"/>
      <c r="O21" s="100"/>
      <c r="P21" s="14"/>
      <c r="Q21" s="13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customFormat="1" ht="24.75" customHeight="1" x14ac:dyDescent="0.4">
      <c r="A22" s="20"/>
      <c r="B22" s="100"/>
      <c r="C22" s="100"/>
      <c r="D22" s="100"/>
      <c r="E22" s="100"/>
      <c r="F22" s="100"/>
      <c r="G22" s="101"/>
      <c r="H22" s="100"/>
      <c r="I22" s="100"/>
      <c r="J22" s="101"/>
      <c r="K22" s="102"/>
      <c r="L22" s="103"/>
      <c r="M22" s="100"/>
      <c r="N22" s="100"/>
      <c r="O22" s="100"/>
      <c r="P22" s="14"/>
      <c r="Q22" s="13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customFormat="1" ht="24.75" customHeight="1" x14ac:dyDescent="0.4">
      <c r="A23" s="20"/>
      <c r="B23" s="101" t="s">
        <v>128</v>
      </c>
      <c r="C23" s="104"/>
      <c r="D23" s="105"/>
      <c r="E23" s="100" t="s">
        <v>146</v>
      </c>
      <c r="F23" s="100"/>
      <c r="G23" s="101"/>
      <c r="H23" s="106" t="s">
        <v>123</v>
      </c>
      <c r="I23" s="106"/>
      <c r="J23" s="107"/>
      <c r="K23" s="102" t="s">
        <v>120</v>
      </c>
      <c r="L23" s="103"/>
      <c r="M23" s="100" t="s">
        <v>134</v>
      </c>
      <c r="N23" s="100"/>
      <c r="O23" s="100"/>
      <c r="P23" s="14">
        <v>1</v>
      </c>
      <c r="Q23" s="75" t="s">
        <v>135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customFormat="1" ht="24.75" customHeight="1" x14ac:dyDescent="0.4">
      <c r="A24" s="20"/>
      <c r="B24" s="100"/>
      <c r="C24" s="100"/>
      <c r="D24" s="100"/>
      <c r="E24" s="100"/>
      <c r="F24" s="100"/>
      <c r="G24" s="101"/>
      <c r="H24" s="100"/>
      <c r="I24" s="100"/>
      <c r="J24" s="101"/>
      <c r="K24" s="102"/>
      <c r="L24" s="103"/>
      <c r="M24" s="100"/>
      <c r="N24" s="100"/>
      <c r="O24" s="100"/>
      <c r="P24" s="14"/>
      <c r="Q24" s="13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customFormat="1" ht="24.75" customHeight="1" x14ac:dyDescent="0.4">
      <c r="A25" s="20"/>
      <c r="B25" s="100"/>
      <c r="C25" s="100"/>
      <c r="D25" s="100"/>
      <c r="E25" s="100"/>
      <c r="F25" s="100"/>
      <c r="G25" s="101"/>
      <c r="H25" s="100"/>
      <c r="I25" s="100"/>
      <c r="J25" s="101"/>
      <c r="K25" s="102"/>
      <c r="L25" s="103"/>
      <c r="M25" s="100"/>
      <c r="N25" s="100"/>
      <c r="O25" s="100"/>
      <c r="P25" s="14"/>
      <c r="Q25" s="13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customFormat="1" ht="24.75" customHeight="1" x14ac:dyDescent="0.4">
      <c r="A26" s="20"/>
      <c r="B26" s="101" t="s">
        <v>129</v>
      </c>
      <c r="C26" s="104"/>
      <c r="D26" s="105"/>
      <c r="E26" s="100" t="s">
        <v>147</v>
      </c>
      <c r="F26" s="100"/>
      <c r="G26" s="101"/>
      <c r="H26" s="106" t="s">
        <v>132</v>
      </c>
      <c r="I26" s="106"/>
      <c r="J26" s="107"/>
      <c r="K26" s="102" t="s">
        <v>120</v>
      </c>
      <c r="L26" s="103"/>
      <c r="M26" s="100" t="s">
        <v>136</v>
      </c>
      <c r="N26" s="100"/>
      <c r="O26" s="100"/>
      <c r="P26" s="14">
        <v>1</v>
      </c>
      <c r="Q26" s="75" t="s">
        <v>137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customFormat="1" ht="24.75" customHeight="1" x14ac:dyDescent="0.4">
      <c r="A27" s="20"/>
      <c r="B27" s="100"/>
      <c r="C27" s="100"/>
      <c r="D27" s="100"/>
      <c r="E27" s="100"/>
      <c r="F27" s="100"/>
      <c r="G27" s="101"/>
      <c r="H27" s="100"/>
      <c r="I27" s="100"/>
      <c r="J27" s="101"/>
      <c r="K27" s="102" t="s">
        <v>120</v>
      </c>
      <c r="L27" s="103"/>
      <c r="M27" s="100" t="s">
        <v>138</v>
      </c>
      <c r="N27" s="100"/>
      <c r="O27" s="100"/>
      <c r="P27" s="14">
        <v>1</v>
      </c>
      <c r="Q27" s="13" t="s">
        <v>139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customFormat="1" ht="24.5" customHeight="1" x14ac:dyDescent="0.4">
      <c r="A28" s="20"/>
      <c r="B28" s="100"/>
      <c r="C28" s="100"/>
      <c r="D28" s="100"/>
      <c r="E28" s="100"/>
      <c r="F28" s="100"/>
      <c r="G28" s="101"/>
      <c r="H28" s="101"/>
      <c r="I28" s="104"/>
      <c r="J28" s="105"/>
      <c r="K28" s="102" t="s">
        <v>120</v>
      </c>
      <c r="L28" s="103"/>
      <c r="M28" s="100" t="s">
        <v>140</v>
      </c>
      <c r="N28" s="100"/>
      <c r="O28" s="100"/>
      <c r="P28" s="14">
        <v>1</v>
      </c>
      <c r="Q28" s="13" t="s">
        <v>141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customFormat="1" ht="24.5" customHeight="1" x14ac:dyDescent="0.4">
      <c r="A29" s="20"/>
      <c r="B29" s="100"/>
      <c r="C29" s="100"/>
      <c r="D29" s="100"/>
      <c r="E29" s="100"/>
      <c r="F29" s="100"/>
      <c r="G29" s="101"/>
      <c r="H29" s="101"/>
      <c r="I29" s="104"/>
      <c r="J29" s="105"/>
      <c r="K29" s="102" t="s">
        <v>120</v>
      </c>
      <c r="L29" s="103"/>
      <c r="M29" s="100" t="s">
        <v>142</v>
      </c>
      <c r="N29" s="100"/>
      <c r="O29" s="100"/>
      <c r="P29" s="14">
        <v>1</v>
      </c>
      <c r="Q29" s="13" t="s">
        <v>143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customFormat="1" ht="24.5" customHeight="1" x14ac:dyDescent="0.4">
      <c r="A30" s="20"/>
      <c r="B30" s="100"/>
      <c r="C30" s="100"/>
      <c r="D30" s="100"/>
      <c r="E30" s="100"/>
      <c r="F30" s="100"/>
      <c r="G30" s="101"/>
      <c r="H30" s="101"/>
      <c r="I30" s="104"/>
      <c r="J30" s="105"/>
      <c r="K30" s="102"/>
      <c r="L30" s="103"/>
      <c r="M30" s="100"/>
      <c r="N30" s="100"/>
      <c r="O30" s="100"/>
      <c r="P30" s="14"/>
      <c r="Q30" s="13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customFormat="1" ht="24.75" customHeight="1" x14ac:dyDescent="0.4">
      <c r="A31" s="20"/>
      <c r="B31" s="100"/>
      <c r="C31" s="100"/>
      <c r="D31" s="100"/>
      <c r="E31" s="100"/>
      <c r="F31" s="100"/>
      <c r="G31" s="101"/>
      <c r="H31" s="100"/>
      <c r="I31" s="100"/>
      <c r="J31" s="101"/>
      <c r="K31" s="102"/>
      <c r="L31" s="103"/>
      <c r="M31" s="100"/>
      <c r="N31" s="100"/>
      <c r="O31" s="100"/>
      <c r="P31" s="14"/>
      <c r="Q31" s="13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customFormat="1" ht="24.75" customHeight="1" x14ac:dyDescent="0.4">
      <c r="A32" s="20"/>
      <c r="B32" s="101" t="s">
        <v>130</v>
      </c>
      <c r="C32" s="104"/>
      <c r="D32" s="105"/>
      <c r="E32" s="100" t="s">
        <v>148</v>
      </c>
      <c r="F32" s="100"/>
      <c r="G32" s="101"/>
      <c r="H32" s="106" t="s">
        <v>133</v>
      </c>
      <c r="I32" s="106"/>
      <c r="J32" s="107"/>
      <c r="K32" s="102" t="s">
        <v>120</v>
      </c>
      <c r="L32" s="103"/>
      <c r="M32" s="100" t="s">
        <v>136</v>
      </c>
      <c r="N32" s="100"/>
      <c r="O32" s="100"/>
      <c r="P32" s="14">
        <v>1</v>
      </c>
      <c r="Q32" s="75" t="s">
        <v>137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customFormat="1" ht="24.75" customHeight="1" x14ac:dyDescent="0.4">
      <c r="A33" s="20"/>
      <c r="B33" s="100"/>
      <c r="C33" s="100"/>
      <c r="D33" s="100"/>
      <c r="E33" s="100"/>
      <c r="F33" s="100"/>
      <c r="G33" s="101"/>
      <c r="H33" s="100"/>
      <c r="I33" s="100"/>
      <c r="J33" s="101"/>
      <c r="K33" s="102" t="s">
        <v>120</v>
      </c>
      <c r="L33" s="103"/>
      <c r="M33" s="100" t="s">
        <v>138</v>
      </c>
      <c r="N33" s="100"/>
      <c r="O33" s="100"/>
      <c r="P33" s="14">
        <v>1</v>
      </c>
      <c r="Q33" s="13" t="s">
        <v>139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customFormat="1" ht="24.5" customHeight="1" x14ac:dyDescent="0.4">
      <c r="A34" s="20"/>
      <c r="B34" s="100"/>
      <c r="C34" s="100"/>
      <c r="D34" s="100"/>
      <c r="E34" s="100"/>
      <c r="F34" s="100"/>
      <c r="G34" s="101"/>
      <c r="H34" s="101"/>
      <c r="I34" s="104"/>
      <c r="J34" s="105"/>
      <c r="K34" s="102" t="s">
        <v>120</v>
      </c>
      <c r="L34" s="103"/>
      <c r="M34" s="100" t="s">
        <v>140</v>
      </c>
      <c r="N34" s="100"/>
      <c r="O34" s="100"/>
      <c r="P34" s="14">
        <v>1</v>
      </c>
      <c r="Q34" s="13" t="s">
        <v>141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customFormat="1" ht="24.75" customHeight="1" x14ac:dyDescent="0.4">
      <c r="A35" s="20"/>
      <c r="B35" s="100"/>
      <c r="C35" s="100"/>
      <c r="D35" s="100"/>
      <c r="E35" s="100"/>
      <c r="F35" s="100"/>
      <c r="G35" s="101"/>
      <c r="H35" s="100"/>
      <c r="I35" s="100"/>
      <c r="J35" s="101"/>
      <c r="K35" s="102"/>
      <c r="L35" s="103"/>
      <c r="M35" s="100"/>
      <c r="N35" s="100"/>
      <c r="O35" s="100"/>
      <c r="P35" s="14"/>
      <c r="Q35" s="13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customFormat="1" ht="24.5" customHeight="1" x14ac:dyDescent="0.4">
      <c r="A36" s="20"/>
      <c r="B36" s="100"/>
      <c r="C36" s="100"/>
      <c r="D36" s="100"/>
      <c r="E36" s="100"/>
      <c r="F36" s="100"/>
      <c r="G36" s="101"/>
      <c r="H36" s="101"/>
      <c r="I36" s="104"/>
      <c r="J36" s="105"/>
      <c r="K36" s="102"/>
      <c r="L36" s="103"/>
      <c r="M36" s="100"/>
      <c r="N36" s="100"/>
      <c r="O36" s="100"/>
      <c r="P36" s="14"/>
      <c r="Q36" s="13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customFormat="1" ht="24.5" customHeight="1" x14ac:dyDescent="0.4">
      <c r="A37" s="20"/>
      <c r="B37" s="100"/>
      <c r="C37" s="100"/>
      <c r="D37" s="100"/>
      <c r="E37" s="100"/>
      <c r="F37" s="100"/>
      <c r="G37" s="101"/>
      <c r="H37" s="101"/>
      <c r="I37" s="104"/>
      <c r="J37" s="105"/>
      <c r="K37" s="102"/>
      <c r="L37" s="103"/>
      <c r="M37" s="100"/>
      <c r="N37" s="100"/>
      <c r="O37" s="100"/>
      <c r="P37" s="14"/>
      <c r="Q37" s="13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</sheetData>
  <dataConsolidate/>
  <mergeCells count="126">
    <mergeCell ref="B34:D34"/>
    <mergeCell ref="E34:G34"/>
    <mergeCell ref="H34:J34"/>
    <mergeCell ref="K34:L34"/>
    <mergeCell ref="M34:O34"/>
    <mergeCell ref="M30:O30"/>
    <mergeCell ref="B33:D33"/>
    <mergeCell ref="E33:G33"/>
    <mergeCell ref="H33:J33"/>
    <mergeCell ref="K33:L33"/>
    <mergeCell ref="M33:O33"/>
    <mergeCell ref="M31:O31"/>
    <mergeCell ref="E32:G32"/>
    <mergeCell ref="H32:J32"/>
    <mergeCell ref="K32:L32"/>
    <mergeCell ref="M32:O32"/>
    <mergeCell ref="B24:D24"/>
    <mergeCell ref="E24:G24"/>
    <mergeCell ref="H24:J24"/>
    <mergeCell ref="K24:L24"/>
    <mergeCell ref="M24:O24"/>
    <mergeCell ref="K18:L18"/>
    <mergeCell ref="M18:O18"/>
    <mergeCell ref="B21:D21"/>
    <mergeCell ref="E21:G21"/>
    <mergeCell ref="H21:J21"/>
    <mergeCell ref="K21:L21"/>
    <mergeCell ref="M21:O21"/>
    <mergeCell ref="B19:D19"/>
    <mergeCell ref="E19:G19"/>
    <mergeCell ref="H19:J19"/>
    <mergeCell ref="M22:O22"/>
    <mergeCell ref="B36:D36"/>
    <mergeCell ref="E36:G36"/>
    <mergeCell ref="H36:J36"/>
    <mergeCell ref="K36:L36"/>
    <mergeCell ref="M36:O36"/>
    <mergeCell ref="B37:D37"/>
    <mergeCell ref="E37:G37"/>
    <mergeCell ref="H37:J37"/>
    <mergeCell ref="K37:L37"/>
    <mergeCell ref="M37:O37"/>
    <mergeCell ref="B11:C11"/>
    <mergeCell ref="E17:G17"/>
    <mergeCell ref="H17:J17"/>
    <mergeCell ref="B18:D18"/>
    <mergeCell ref="E18:G18"/>
    <mergeCell ref="H18:J18"/>
    <mergeCell ref="F6:H6"/>
    <mergeCell ref="F7:H7"/>
    <mergeCell ref="J6:M6"/>
    <mergeCell ref="J7:M7"/>
    <mergeCell ref="D11:E11"/>
    <mergeCell ref="F11:H11"/>
    <mergeCell ref="K17:L17"/>
    <mergeCell ref="M17:O17"/>
    <mergeCell ref="B15:D15"/>
    <mergeCell ref="E15:G15"/>
    <mergeCell ref="H15:J15"/>
    <mergeCell ref="K15:L15"/>
    <mergeCell ref="M15:O15"/>
    <mergeCell ref="E16:G16"/>
    <mergeCell ref="H16:J16"/>
    <mergeCell ref="K16:L16"/>
    <mergeCell ref="M16:O16"/>
    <mergeCell ref="B16:D16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B3:G3"/>
    <mergeCell ref="B6:E6"/>
    <mergeCell ref="B7:E7"/>
    <mergeCell ref="B26:D26"/>
    <mergeCell ref="B20:D20"/>
    <mergeCell ref="E26:G26"/>
    <mergeCell ref="E20:G20"/>
    <mergeCell ref="B9:P9"/>
    <mergeCell ref="B17:D17"/>
    <mergeCell ref="B23:D23"/>
    <mergeCell ref="M25:O25"/>
    <mergeCell ref="K19:L19"/>
    <mergeCell ref="M19:O19"/>
    <mergeCell ref="E23:G23"/>
    <mergeCell ref="H23:J23"/>
    <mergeCell ref="K23:L23"/>
    <mergeCell ref="H20:J20"/>
    <mergeCell ref="K20:L20"/>
    <mergeCell ref="M20:O20"/>
    <mergeCell ref="M23:O23"/>
    <mergeCell ref="B22:D22"/>
    <mergeCell ref="E22:G22"/>
    <mergeCell ref="H22:J22"/>
    <mergeCell ref="K22:L22"/>
    <mergeCell ref="B35:D35"/>
    <mergeCell ref="E35:G35"/>
    <mergeCell ref="H35:J35"/>
    <mergeCell ref="K35:L35"/>
    <mergeCell ref="M35:O35"/>
    <mergeCell ref="B32:D32"/>
    <mergeCell ref="B25:D25"/>
    <mergeCell ref="E25:G25"/>
    <mergeCell ref="H25:J25"/>
    <mergeCell ref="K25:L25"/>
    <mergeCell ref="B31:D31"/>
    <mergeCell ref="E31:G31"/>
    <mergeCell ref="H31:J31"/>
    <mergeCell ref="K31:L31"/>
    <mergeCell ref="B27:D27"/>
    <mergeCell ref="B28:D28"/>
    <mergeCell ref="B30:D30"/>
    <mergeCell ref="E30:G30"/>
    <mergeCell ref="H30:J30"/>
    <mergeCell ref="K30:L30"/>
    <mergeCell ref="B29:D29"/>
    <mergeCell ref="H26:J26"/>
    <mergeCell ref="K26:L26"/>
    <mergeCell ref="M26:O26"/>
  </mergeCells>
  <phoneticPr fontId="4" type="noConversion"/>
  <conditionalFormatting sqref="K16:L37">
    <cfRule type="containsText" dxfId="0" priority="1" operator="containsText" text="替代料">
      <formula>NOT(ISERROR(SEARCH("替代料",K16)))</formula>
    </cfRule>
  </conditionalFormatting>
  <pageMargins left="0.7" right="0.7" top="0.75" bottom="0.75" header="0.3" footer="0.3"/>
  <pageSetup paperSize="9" orientation="portrait" horizontalDpi="4294967292" verticalDpi="4294967292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/>
  <dimension ref="A1:AZ379"/>
  <sheetViews>
    <sheetView topLeftCell="A3" workbookViewId="0">
      <selection activeCell="M24" sqref="M24"/>
    </sheetView>
  </sheetViews>
  <sheetFormatPr defaultRowHeight="17" x14ac:dyDescent="0.4"/>
  <cols>
    <col min="1" max="1" width="1.453125" style="20" customWidth="1"/>
    <col min="2" max="4" width="8.453125" customWidth="1"/>
    <col min="5" max="8" width="7.08984375" customWidth="1"/>
    <col min="9" max="9" width="11.90625" customWidth="1"/>
    <col min="10" max="11" width="7.08984375" customWidth="1"/>
    <col min="12" max="13" width="10.6328125" customWidth="1"/>
    <col min="14" max="14" width="15.08984375" customWidth="1"/>
    <col min="15" max="16" width="8.6328125" customWidth="1"/>
    <col min="17" max="17" width="9.08984375" style="20" bestFit="1" customWidth="1"/>
    <col min="18" max="18" width="7.81640625" style="20" bestFit="1" customWidth="1"/>
    <col min="19" max="23" width="6.6328125" customWidth="1"/>
    <col min="24" max="24" width="9.08984375" style="20" bestFit="1" customWidth="1"/>
    <col min="25" max="25" width="7.81640625" style="20" bestFit="1" customWidth="1"/>
    <col min="26" max="26" width="9" style="20"/>
    <col min="27" max="27" width="16.36328125" style="20" customWidth="1"/>
    <col min="28" max="52" width="9" style="20"/>
  </cols>
  <sheetData>
    <row r="1" spans="2:52" s="20" customFormat="1" ht="16.5" customHeight="1" x14ac:dyDescent="0.4"/>
    <row r="2" spans="2:52" s="20" customFormat="1" ht="24.9" customHeight="1" x14ac:dyDescent="0.4">
      <c r="B2" s="137" t="s">
        <v>84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</row>
    <row r="3" spans="2:52" s="20" customFormat="1" ht="24.9" customHeight="1" x14ac:dyDescent="0.4">
      <c r="B3" s="138" t="s">
        <v>82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</row>
    <row r="4" spans="2:52" s="20" customFormat="1" ht="12.15" customHeight="1" thickBot="1" x14ac:dyDescent="0.45"/>
    <row r="5" spans="2:52" ht="28.5" customHeight="1" x14ac:dyDescent="0.4">
      <c r="B5" s="143" t="s">
        <v>65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5"/>
      <c r="S5" s="20"/>
      <c r="T5" s="20"/>
      <c r="U5" s="20"/>
      <c r="V5" s="20"/>
      <c r="W5" s="20"/>
    </row>
    <row r="6" spans="2:52" x14ac:dyDescent="0.4">
      <c r="B6" s="52">
        <v>1</v>
      </c>
      <c r="C6" s="44">
        <v>2</v>
      </c>
      <c r="D6" s="44">
        <v>3</v>
      </c>
      <c r="E6" s="44">
        <v>4</v>
      </c>
      <c r="F6" s="44">
        <v>5</v>
      </c>
      <c r="G6" s="44">
        <v>6</v>
      </c>
      <c r="H6" s="44">
        <v>7</v>
      </c>
      <c r="I6" s="44">
        <v>8</v>
      </c>
      <c r="J6" s="44">
        <v>9</v>
      </c>
      <c r="K6" s="44">
        <v>10</v>
      </c>
      <c r="L6" s="44">
        <v>11</v>
      </c>
      <c r="M6" s="44">
        <v>12</v>
      </c>
      <c r="N6" s="44">
        <v>13</v>
      </c>
      <c r="O6" s="44">
        <v>14</v>
      </c>
      <c r="P6" s="45">
        <v>15</v>
      </c>
      <c r="S6" s="20"/>
      <c r="T6" s="20"/>
      <c r="U6" s="20"/>
      <c r="V6" s="20"/>
      <c r="W6" s="20"/>
    </row>
    <row r="7" spans="2:52" ht="21.75" customHeight="1" x14ac:dyDescent="0.4">
      <c r="B7" s="146" t="s">
        <v>74</v>
      </c>
      <c r="C7" s="147"/>
      <c r="D7" s="148" t="s">
        <v>5</v>
      </c>
      <c r="E7" s="147"/>
      <c r="F7" s="148" t="s">
        <v>6</v>
      </c>
      <c r="G7" s="149"/>
      <c r="H7" s="147"/>
      <c r="I7" s="46" t="s">
        <v>72</v>
      </c>
      <c r="J7" s="46" t="s">
        <v>75</v>
      </c>
      <c r="K7" s="46" t="s">
        <v>76</v>
      </c>
      <c r="L7" s="46" t="s">
        <v>73</v>
      </c>
      <c r="M7" s="46" t="s">
        <v>77</v>
      </c>
      <c r="N7" s="46" t="s">
        <v>78</v>
      </c>
      <c r="O7" s="46" t="s">
        <v>79</v>
      </c>
      <c r="P7" s="47" t="s">
        <v>80</v>
      </c>
      <c r="S7" s="20"/>
      <c r="T7" s="20"/>
      <c r="U7" s="20"/>
      <c r="V7" s="20"/>
      <c r="W7" s="20"/>
    </row>
    <row r="8" spans="2:52" ht="26.4" customHeight="1" thickBot="1" x14ac:dyDescent="0.45">
      <c r="B8" s="10">
        <v>8</v>
      </c>
      <c r="C8" s="11">
        <v>0</v>
      </c>
      <c r="D8" s="11" t="s">
        <v>4</v>
      </c>
      <c r="E8" s="11" t="s">
        <v>8</v>
      </c>
      <c r="F8" s="12">
        <f>'90編碼原則'!L5</f>
        <v>0</v>
      </c>
      <c r="G8" s="12" t="str">
        <f>'90編碼原則'!M5</f>
        <v>A</v>
      </c>
      <c r="H8" s="12" t="str">
        <f>'90編碼原則'!N5</f>
        <v>N</v>
      </c>
      <c r="I8" s="42"/>
      <c r="J8" s="9" t="s">
        <v>7</v>
      </c>
      <c r="K8" s="41" t="s">
        <v>9</v>
      </c>
      <c r="L8" s="42"/>
      <c r="M8" s="42"/>
      <c r="N8" s="42"/>
      <c r="O8" s="42"/>
      <c r="P8" s="43"/>
      <c r="S8" s="20"/>
      <c r="T8" s="20"/>
      <c r="U8" s="20"/>
      <c r="V8" s="20"/>
      <c r="W8" s="20"/>
    </row>
    <row r="9" spans="2:52" x14ac:dyDescent="0.4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S9" s="20"/>
      <c r="T9" s="20"/>
      <c r="U9" s="20"/>
      <c r="V9" s="20"/>
      <c r="W9" s="20"/>
    </row>
    <row r="10" spans="2:52" x14ac:dyDescent="0.4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S10" s="20"/>
      <c r="T10" s="20"/>
      <c r="U10" s="20"/>
      <c r="V10" s="20"/>
      <c r="W10" s="20"/>
    </row>
    <row r="11" spans="2:52" ht="25" customHeight="1" thickBot="1" x14ac:dyDescent="0.45">
      <c r="B11" s="140" t="s">
        <v>13</v>
      </c>
      <c r="C11" s="140"/>
      <c r="D11" s="140"/>
      <c r="E11" s="133" t="s">
        <v>83</v>
      </c>
      <c r="F11" s="133"/>
      <c r="G11" s="133"/>
      <c r="H11" s="133"/>
      <c r="I11" s="133"/>
      <c r="J11" s="133"/>
      <c r="K11" s="133"/>
      <c r="L11" s="133"/>
      <c r="M11" s="133"/>
      <c r="N11" s="133"/>
      <c r="O11" s="39" t="s">
        <v>60</v>
      </c>
      <c r="P11" s="40"/>
      <c r="Q11" s="40"/>
      <c r="R11" s="40"/>
      <c r="S11" s="40"/>
      <c r="T11" s="20"/>
      <c r="U11" s="20"/>
      <c r="V11" s="20"/>
      <c r="W11" s="20"/>
      <c r="AU11"/>
      <c r="AV11"/>
      <c r="AW11"/>
      <c r="AX11"/>
      <c r="AY11"/>
      <c r="AZ11"/>
    </row>
    <row r="12" spans="2:52" ht="25" customHeight="1" thickBot="1" x14ac:dyDescent="0.45">
      <c r="B12" s="141" t="s">
        <v>151</v>
      </c>
      <c r="C12" s="141"/>
      <c r="D12" s="141"/>
      <c r="E12" s="150" t="s">
        <v>154</v>
      </c>
      <c r="F12" s="151"/>
      <c r="G12" s="151"/>
      <c r="H12" s="151"/>
      <c r="I12" s="151"/>
      <c r="J12" s="151"/>
      <c r="K12" s="151"/>
      <c r="L12" s="151"/>
      <c r="M12" s="151"/>
      <c r="N12" s="152"/>
      <c r="O12" s="134"/>
      <c r="P12" s="135"/>
      <c r="Q12" s="135"/>
      <c r="R12" s="135"/>
      <c r="S12" s="136"/>
      <c r="T12" s="20"/>
      <c r="U12" s="20"/>
      <c r="V12" s="20"/>
      <c r="W12" s="20"/>
      <c r="AU12"/>
      <c r="AV12"/>
      <c r="AW12"/>
      <c r="AX12"/>
      <c r="AY12"/>
      <c r="AZ12"/>
    </row>
    <row r="13" spans="2:52" ht="25" customHeight="1" thickBot="1" x14ac:dyDescent="0.45">
      <c r="B13" s="142" t="s">
        <v>152</v>
      </c>
      <c r="C13" s="142"/>
      <c r="D13" s="142"/>
      <c r="E13" s="131" t="s">
        <v>155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4"/>
      <c r="P13" s="135"/>
      <c r="Q13" s="135"/>
      <c r="R13" s="135"/>
      <c r="S13" s="136"/>
      <c r="T13" s="20"/>
      <c r="U13" s="20"/>
      <c r="V13" s="20"/>
      <c r="W13" s="20"/>
      <c r="AU13"/>
      <c r="AV13"/>
      <c r="AW13"/>
      <c r="AX13"/>
      <c r="AY13"/>
      <c r="AZ13"/>
    </row>
    <row r="14" spans="2:52" ht="25" customHeight="1" thickBot="1" x14ac:dyDescent="0.45">
      <c r="B14" s="142" t="s">
        <v>157</v>
      </c>
      <c r="C14" s="142"/>
      <c r="D14" s="142"/>
      <c r="E14" s="131" t="s">
        <v>156</v>
      </c>
      <c r="F14" s="132"/>
      <c r="G14" s="132"/>
      <c r="H14" s="132"/>
      <c r="I14" s="132"/>
      <c r="J14" s="132"/>
      <c r="K14" s="132"/>
      <c r="L14" s="132"/>
      <c r="M14" s="132"/>
      <c r="N14" s="132"/>
      <c r="O14" s="134"/>
      <c r="P14" s="135"/>
      <c r="Q14" s="135"/>
      <c r="R14" s="135"/>
      <c r="S14" s="136"/>
      <c r="T14" s="20"/>
      <c r="U14" s="20"/>
      <c r="V14" s="20"/>
      <c r="W14" s="20"/>
    </row>
    <row r="15" spans="2:52" ht="25" customHeight="1" thickBot="1" x14ac:dyDescent="0.45">
      <c r="B15" s="142"/>
      <c r="C15" s="142"/>
      <c r="D15" s="142"/>
      <c r="E15" s="131"/>
      <c r="F15" s="132"/>
      <c r="G15" s="132"/>
      <c r="H15" s="132"/>
      <c r="I15" s="132"/>
      <c r="J15" s="132"/>
      <c r="K15" s="132"/>
      <c r="L15" s="132"/>
      <c r="M15" s="132"/>
      <c r="N15" s="132"/>
      <c r="O15" s="134"/>
      <c r="P15" s="135"/>
      <c r="Q15" s="135"/>
      <c r="R15" s="135"/>
      <c r="S15" s="136"/>
      <c r="T15" s="20"/>
      <c r="U15" s="20"/>
      <c r="V15" s="20"/>
      <c r="W15" s="20"/>
    </row>
    <row r="16" spans="2:52" x14ac:dyDescent="0.4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S16" s="20"/>
      <c r="T16" s="20"/>
      <c r="U16" s="20"/>
      <c r="V16" s="20"/>
      <c r="W16" s="20"/>
    </row>
    <row r="17" spans="2:23" x14ac:dyDescent="0.4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S17" s="20"/>
      <c r="T17" s="20"/>
      <c r="U17" s="20"/>
      <c r="V17" s="20"/>
      <c r="W17" s="20"/>
    </row>
    <row r="18" spans="2:23" x14ac:dyDescent="0.4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S18" s="20"/>
      <c r="T18" s="20"/>
      <c r="U18" s="20"/>
      <c r="V18" s="20"/>
      <c r="W18" s="20"/>
    </row>
    <row r="19" spans="2:23" x14ac:dyDescent="0.4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S19" s="20"/>
      <c r="T19" s="20"/>
      <c r="U19" s="20"/>
      <c r="V19" s="20"/>
      <c r="W19" s="20"/>
    </row>
    <row r="20" spans="2:23" x14ac:dyDescent="0.4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S20" s="20"/>
      <c r="T20" s="20"/>
      <c r="U20" s="20"/>
      <c r="V20" s="20"/>
      <c r="W20" s="20"/>
    </row>
    <row r="21" spans="2:23" x14ac:dyDescent="0.4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S21" s="20"/>
      <c r="T21" s="20"/>
      <c r="U21" s="20"/>
      <c r="V21" s="20"/>
      <c r="W21" s="20"/>
    </row>
    <row r="22" spans="2:23" x14ac:dyDescent="0.4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S22" s="20"/>
      <c r="T22" s="20"/>
      <c r="U22" s="20"/>
      <c r="V22" s="20"/>
      <c r="W22" s="20"/>
    </row>
    <row r="23" spans="2:23" x14ac:dyDescent="0.4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S23" s="20"/>
      <c r="T23" s="20"/>
      <c r="U23" s="20"/>
      <c r="V23" s="20"/>
      <c r="W23" s="20"/>
    </row>
    <row r="24" spans="2:23" x14ac:dyDescent="0.4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S24" s="20"/>
      <c r="T24" s="20"/>
      <c r="U24" s="20"/>
      <c r="V24" s="20"/>
      <c r="W24" s="20"/>
    </row>
    <row r="25" spans="2:23" s="20" customFormat="1" x14ac:dyDescent="0.4"/>
    <row r="26" spans="2:23" s="20" customFormat="1" x14ac:dyDescent="0.4"/>
    <row r="27" spans="2:23" s="20" customFormat="1" x14ac:dyDescent="0.4"/>
    <row r="28" spans="2:23" s="20" customFormat="1" x14ac:dyDescent="0.4"/>
    <row r="29" spans="2:23" s="20" customFormat="1" x14ac:dyDescent="0.4"/>
    <row r="30" spans="2:23" s="20" customFormat="1" x14ac:dyDescent="0.4"/>
    <row r="31" spans="2:23" s="20" customFormat="1" x14ac:dyDescent="0.4"/>
    <row r="32" spans="2:23" s="20" customFormat="1" x14ac:dyDescent="0.4"/>
    <row r="33" s="20" customFormat="1" x14ac:dyDescent="0.4"/>
    <row r="34" s="20" customFormat="1" x14ac:dyDescent="0.4"/>
    <row r="35" s="20" customFormat="1" x14ac:dyDescent="0.4"/>
    <row r="36" s="20" customFormat="1" x14ac:dyDescent="0.4"/>
    <row r="37" s="20" customFormat="1" x14ac:dyDescent="0.4"/>
    <row r="38" s="20" customFormat="1" x14ac:dyDescent="0.4"/>
    <row r="39" s="20" customFormat="1" x14ac:dyDescent="0.4"/>
    <row r="40" s="20" customFormat="1" x14ac:dyDescent="0.4"/>
    <row r="41" s="20" customFormat="1" x14ac:dyDescent="0.4"/>
    <row r="42" s="20" customFormat="1" x14ac:dyDescent="0.4"/>
    <row r="43" s="20" customFormat="1" x14ac:dyDescent="0.4"/>
    <row r="44" s="20" customFormat="1" x14ac:dyDescent="0.4"/>
    <row r="45" s="20" customFormat="1" x14ac:dyDescent="0.4"/>
    <row r="46" s="20" customFormat="1" x14ac:dyDescent="0.4"/>
    <row r="47" s="20" customFormat="1" x14ac:dyDescent="0.4"/>
    <row r="48" s="20" customFormat="1" x14ac:dyDescent="0.4"/>
    <row r="49" s="20" customFormat="1" x14ac:dyDescent="0.4"/>
    <row r="50" s="20" customFormat="1" x14ac:dyDescent="0.4"/>
    <row r="51" s="20" customFormat="1" x14ac:dyDescent="0.4"/>
    <row r="52" s="20" customFormat="1" x14ac:dyDescent="0.4"/>
    <row r="53" s="20" customFormat="1" x14ac:dyDescent="0.4"/>
    <row r="54" s="20" customFormat="1" x14ac:dyDescent="0.4"/>
    <row r="55" s="20" customFormat="1" x14ac:dyDescent="0.4"/>
    <row r="56" s="20" customFormat="1" x14ac:dyDescent="0.4"/>
    <row r="57" s="20" customFormat="1" x14ac:dyDescent="0.4"/>
    <row r="58" s="20" customFormat="1" x14ac:dyDescent="0.4"/>
    <row r="59" s="20" customFormat="1" x14ac:dyDescent="0.4"/>
    <row r="60" s="20" customFormat="1" x14ac:dyDescent="0.4"/>
    <row r="61" s="20" customFormat="1" x14ac:dyDescent="0.4"/>
    <row r="62" s="20" customFormat="1" x14ac:dyDescent="0.4"/>
    <row r="63" s="20" customFormat="1" x14ac:dyDescent="0.4"/>
    <row r="64" s="20" customFormat="1" x14ac:dyDescent="0.4"/>
    <row r="65" s="20" customFormat="1" x14ac:dyDescent="0.4"/>
    <row r="66" s="20" customFormat="1" x14ac:dyDescent="0.4"/>
    <row r="67" s="20" customFormat="1" x14ac:dyDescent="0.4"/>
    <row r="68" s="20" customFormat="1" x14ac:dyDescent="0.4"/>
    <row r="69" s="20" customFormat="1" x14ac:dyDescent="0.4"/>
    <row r="70" s="20" customFormat="1" x14ac:dyDescent="0.4"/>
    <row r="71" s="20" customFormat="1" x14ac:dyDescent="0.4"/>
    <row r="72" s="20" customFormat="1" x14ac:dyDescent="0.4"/>
    <row r="73" s="20" customFormat="1" x14ac:dyDescent="0.4"/>
    <row r="74" s="20" customFormat="1" x14ac:dyDescent="0.4"/>
    <row r="75" s="20" customFormat="1" x14ac:dyDescent="0.4"/>
    <row r="76" s="20" customFormat="1" x14ac:dyDescent="0.4"/>
    <row r="77" s="20" customFormat="1" x14ac:dyDescent="0.4"/>
    <row r="78" s="20" customFormat="1" x14ac:dyDescent="0.4"/>
    <row r="79" s="20" customFormat="1" x14ac:dyDescent="0.4"/>
    <row r="80" s="20" customFormat="1" x14ac:dyDescent="0.4"/>
    <row r="81" s="20" customFormat="1" x14ac:dyDescent="0.4"/>
    <row r="82" s="20" customFormat="1" x14ac:dyDescent="0.4"/>
    <row r="83" s="20" customFormat="1" x14ac:dyDescent="0.4"/>
    <row r="84" s="20" customFormat="1" x14ac:dyDescent="0.4"/>
    <row r="85" s="20" customFormat="1" x14ac:dyDescent="0.4"/>
    <row r="86" s="20" customFormat="1" x14ac:dyDescent="0.4"/>
    <row r="87" s="20" customFormat="1" x14ac:dyDescent="0.4"/>
    <row r="88" s="20" customFormat="1" x14ac:dyDescent="0.4"/>
    <row r="89" s="20" customFormat="1" x14ac:dyDescent="0.4"/>
    <row r="90" s="20" customFormat="1" x14ac:dyDescent="0.4"/>
    <row r="91" s="20" customFormat="1" x14ac:dyDescent="0.4"/>
    <row r="92" s="20" customFormat="1" x14ac:dyDescent="0.4"/>
    <row r="93" s="20" customFormat="1" x14ac:dyDescent="0.4"/>
    <row r="94" s="20" customFormat="1" x14ac:dyDescent="0.4"/>
    <row r="95" s="20" customFormat="1" x14ac:dyDescent="0.4"/>
    <row r="96" s="20" customFormat="1" x14ac:dyDescent="0.4"/>
    <row r="97" s="20" customFormat="1" x14ac:dyDescent="0.4"/>
    <row r="98" s="20" customFormat="1" x14ac:dyDescent="0.4"/>
    <row r="99" s="20" customFormat="1" x14ac:dyDescent="0.4"/>
    <row r="100" s="20" customFormat="1" x14ac:dyDescent="0.4"/>
    <row r="101" s="20" customFormat="1" x14ac:dyDescent="0.4"/>
    <row r="102" s="20" customFormat="1" x14ac:dyDescent="0.4"/>
    <row r="103" s="20" customFormat="1" x14ac:dyDescent="0.4"/>
    <row r="104" s="20" customFormat="1" x14ac:dyDescent="0.4"/>
    <row r="105" s="20" customFormat="1" x14ac:dyDescent="0.4"/>
    <row r="106" s="20" customFormat="1" x14ac:dyDescent="0.4"/>
    <row r="107" s="20" customFormat="1" x14ac:dyDescent="0.4"/>
    <row r="108" s="20" customFormat="1" x14ac:dyDescent="0.4"/>
    <row r="109" s="20" customFormat="1" x14ac:dyDescent="0.4"/>
    <row r="110" s="20" customFormat="1" x14ac:dyDescent="0.4"/>
    <row r="111" s="20" customFormat="1" x14ac:dyDescent="0.4"/>
    <row r="112" s="20" customFormat="1" x14ac:dyDescent="0.4"/>
    <row r="113" s="20" customFormat="1" x14ac:dyDescent="0.4"/>
    <row r="114" s="20" customFormat="1" x14ac:dyDescent="0.4"/>
    <row r="115" s="20" customFormat="1" x14ac:dyDescent="0.4"/>
    <row r="116" s="20" customFormat="1" x14ac:dyDescent="0.4"/>
    <row r="117" s="20" customFormat="1" x14ac:dyDescent="0.4"/>
    <row r="118" s="20" customFormat="1" x14ac:dyDescent="0.4"/>
    <row r="119" s="20" customFormat="1" x14ac:dyDescent="0.4"/>
    <row r="120" s="20" customFormat="1" x14ac:dyDescent="0.4"/>
    <row r="121" s="20" customFormat="1" x14ac:dyDescent="0.4"/>
    <row r="122" s="20" customFormat="1" x14ac:dyDescent="0.4"/>
    <row r="123" s="20" customFormat="1" x14ac:dyDescent="0.4"/>
    <row r="124" s="20" customFormat="1" x14ac:dyDescent="0.4"/>
    <row r="125" s="20" customFormat="1" x14ac:dyDescent="0.4"/>
    <row r="126" s="20" customFormat="1" x14ac:dyDescent="0.4"/>
    <row r="127" s="20" customFormat="1" x14ac:dyDescent="0.4"/>
    <row r="128" s="20" customFormat="1" x14ac:dyDescent="0.4"/>
    <row r="129" s="20" customFormat="1" x14ac:dyDescent="0.4"/>
    <row r="130" s="20" customFormat="1" x14ac:dyDescent="0.4"/>
    <row r="131" s="20" customFormat="1" x14ac:dyDescent="0.4"/>
    <row r="132" s="20" customFormat="1" x14ac:dyDescent="0.4"/>
    <row r="133" s="20" customFormat="1" x14ac:dyDescent="0.4"/>
    <row r="134" s="20" customFormat="1" x14ac:dyDescent="0.4"/>
    <row r="135" s="20" customFormat="1" x14ac:dyDescent="0.4"/>
    <row r="136" s="20" customFormat="1" x14ac:dyDescent="0.4"/>
    <row r="137" s="20" customFormat="1" x14ac:dyDescent="0.4"/>
    <row r="138" s="20" customFormat="1" x14ac:dyDescent="0.4"/>
    <row r="139" s="20" customFormat="1" x14ac:dyDescent="0.4"/>
    <row r="140" s="20" customFormat="1" x14ac:dyDescent="0.4"/>
    <row r="141" s="20" customFormat="1" x14ac:dyDescent="0.4"/>
    <row r="142" s="20" customFormat="1" x14ac:dyDescent="0.4"/>
    <row r="143" s="20" customFormat="1" x14ac:dyDescent="0.4"/>
    <row r="144" s="20" customFormat="1" x14ac:dyDescent="0.4"/>
    <row r="145" s="20" customFormat="1" x14ac:dyDescent="0.4"/>
    <row r="146" s="20" customFormat="1" x14ac:dyDescent="0.4"/>
    <row r="147" s="20" customFormat="1" x14ac:dyDescent="0.4"/>
    <row r="148" s="20" customFormat="1" x14ac:dyDescent="0.4"/>
    <row r="149" s="20" customFormat="1" x14ac:dyDescent="0.4"/>
    <row r="150" s="20" customFormat="1" x14ac:dyDescent="0.4"/>
    <row r="151" s="20" customFormat="1" x14ac:dyDescent="0.4"/>
    <row r="152" s="20" customFormat="1" x14ac:dyDescent="0.4"/>
    <row r="153" s="20" customFormat="1" x14ac:dyDescent="0.4"/>
    <row r="154" s="20" customFormat="1" x14ac:dyDescent="0.4"/>
    <row r="155" s="20" customFormat="1" x14ac:dyDescent="0.4"/>
    <row r="156" s="20" customFormat="1" x14ac:dyDescent="0.4"/>
    <row r="157" s="20" customFormat="1" x14ac:dyDescent="0.4"/>
    <row r="158" s="20" customFormat="1" x14ac:dyDescent="0.4"/>
    <row r="159" s="20" customFormat="1" x14ac:dyDescent="0.4"/>
    <row r="160" s="20" customFormat="1" x14ac:dyDescent="0.4"/>
    <row r="161" s="20" customFormat="1" x14ac:dyDescent="0.4"/>
    <row r="162" s="20" customFormat="1" x14ac:dyDescent="0.4"/>
    <row r="163" s="20" customFormat="1" x14ac:dyDescent="0.4"/>
    <row r="164" s="20" customFormat="1" x14ac:dyDescent="0.4"/>
    <row r="165" s="20" customFormat="1" x14ac:dyDescent="0.4"/>
    <row r="166" s="20" customFormat="1" x14ac:dyDescent="0.4"/>
    <row r="167" s="20" customFormat="1" x14ac:dyDescent="0.4"/>
    <row r="168" s="20" customFormat="1" x14ac:dyDescent="0.4"/>
    <row r="169" s="20" customFormat="1" x14ac:dyDescent="0.4"/>
    <row r="170" s="20" customFormat="1" x14ac:dyDescent="0.4"/>
    <row r="171" s="20" customFormat="1" x14ac:dyDescent="0.4"/>
    <row r="172" s="20" customFormat="1" x14ac:dyDescent="0.4"/>
    <row r="173" s="20" customFormat="1" x14ac:dyDescent="0.4"/>
    <row r="174" s="20" customFormat="1" x14ac:dyDescent="0.4"/>
    <row r="175" s="20" customFormat="1" x14ac:dyDescent="0.4"/>
    <row r="176" s="20" customFormat="1" x14ac:dyDescent="0.4"/>
    <row r="177" s="20" customFormat="1" x14ac:dyDescent="0.4"/>
    <row r="178" s="20" customFormat="1" x14ac:dyDescent="0.4"/>
    <row r="179" s="20" customFormat="1" x14ac:dyDescent="0.4"/>
    <row r="180" s="20" customFormat="1" x14ac:dyDescent="0.4"/>
    <row r="181" s="20" customFormat="1" x14ac:dyDescent="0.4"/>
    <row r="182" s="20" customFormat="1" x14ac:dyDescent="0.4"/>
    <row r="183" s="20" customFormat="1" x14ac:dyDescent="0.4"/>
    <row r="184" s="20" customFormat="1" x14ac:dyDescent="0.4"/>
    <row r="185" s="20" customFormat="1" x14ac:dyDescent="0.4"/>
    <row r="186" s="20" customFormat="1" x14ac:dyDescent="0.4"/>
    <row r="187" s="20" customFormat="1" x14ac:dyDescent="0.4"/>
    <row r="188" s="20" customFormat="1" x14ac:dyDescent="0.4"/>
    <row r="189" s="20" customFormat="1" x14ac:dyDescent="0.4"/>
    <row r="190" s="20" customFormat="1" x14ac:dyDescent="0.4"/>
    <row r="191" s="20" customFormat="1" x14ac:dyDescent="0.4"/>
    <row r="192" s="20" customFormat="1" x14ac:dyDescent="0.4"/>
    <row r="193" s="20" customFormat="1" x14ac:dyDescent="0.4"/>
    <row r="194" s="20" customFormat="1" x14ac:dyDescent="0.4"/>
    <row r="195" s="20" customFormat="1" x14ac:dyDescent="0.4"/>
    <row r="196" s="20" customFormat="1" x14ac:dyDescent="0.4"/>
    <row r="197" s="20" customFormat="1" x14ac:dyDescent="0.4"/>
    <row r="198" s="20" customFormat="1" x14ac:dyDescent="0.4"/>
    <row r="199" s="20" customFormat="1" x14ac:dyDescent="0.4"/>
    <row r="200" s="20" customFormat="1" x14ac:dyDescent="0.4"/>
    <row r="201" s="20" customFormat="1" x14ac:dyDescent="0.4"/>
    <row r="202" s="20" customFormat="1" x14ac:dyDescent="0.4"/>
    <row r="203" s="20" customFormat="1" x14ac:dyDescent="0.4"/>
    <row r="204" s="20" customFormat="1" x14ac:dyDescent="0.4"/>
    <row r="205" s="20" customFormat="1" x14ac:dyDescent="0.4"/>
    <row r="206" s="20" customFormat="1" x14ac:dyDescent="0.4"/>
    <row r="207" s="20" customFormat="1" x14ac:dyDescent="0.4"/>
    <row r="208" s="20" customFormat="1" x14ac:dyDescent="0.4"/>
    <row r="209" s="20" customFormat="1" x14ac:dyDescent="0.4"/>
    <row r="210" s="20" customFormat="1" x14ac:dyDescent="0.4"/>
    <row r="211" s="20" customFormat="1" x14ac:dyDescent="0.4"/>
    <row r="212" s="20" customFormat="1" x14ac:dyDescent="0.4"/>
    <row r="213" s="20" customFormat="1" x14ac:dyDescent="0.4"/>
    <row r="214" s="20" customFormat="1" x14ac:dyDescent="0.4"/>
    <row r="215" s="20" customFormat="1" x14ac:dyDescent="0.4"/>
    <row r="216" s="20" customFormat="1" x14ac:dyDescent="0.4"/>
    <row r="217" s="20" customFormat="1" x14ac:dyDescent="0.4"/>
    <row r="218" s="20" customFormat="1" x14ac:dyDescent="0.4"/>
    <row r="219" s="20" customFormat="1" x14ac:dyDescent="0.4"/>
    <row r="220" s="20" customFormat="1" x14ac:dyDescent="0.4"/>
    <row r="221" s="20" customFormat="1" x14ac:dyDescent="0.4"/>
    <row r="222" s="20" customFormat="1" x14ac:dyDescent="0.4"/>
    <row r="223" s="20" customFormat="1" x14ac:dyDescent="0.4"/>
    <row r="224" s="20" customFormat="1" x14ac:dyDescent="0.4"/>
    <row r="225" s="20" customFormat="1" x14ac:dyDescent="0.4"/>
    <row r="226" s="20" customFormat="1" x14ac:dyDescent="0.4"/>
    <row r="227" s="20" customFormat="1" x14ac:dyDescent="0.4"/>
    <row r="228" s="20" customFormat="1" x14ac:dyDescent="0.4"/>
    <row r="229" s="20" customFormat="1" x14ac:dyDescent="0.4"/>
    <row r="230" s="20" customFormat="1" x14ac:dyDescent="0.4"/>
    <row r="231" s="20" customFormat="1" x14ac:dyDescent="0.4"/>
    <row r="232" s="20" customFormat="1" x14ac:dyDescent="0.4"/>
    <row r="233" s="20" customFormat="1" x14ac:dyDescent="0.4"/>
    <row r="234" s="20" customFormat="1" x14ac:dyDescent="0.4"/>
    <row r="235" s="20" customFormat="1" x14ac:dyDescent="0.4"/>
    <row r="236" s="20" customFormat="1" x14ac:dyDescent="0.4"/>
    <row r="237" s="20" customFormat="1" x14ac:dyDescent="0.4"/>
    <row r="238" s="20" customFormat="1" x14ac:dyDescent="0.4"/>
    <row r="239" s="20" customFormat="1" x14ac:dyDescent="0.4"/>
    <row r="240" s="20" customFormat="1" x14ac:dyDescent="0.4"/>
    <row r="241" s="20" customFormat="1" x14ac:dyDescent="0.4"/>
    <row r="242" s="20" customFormat="1" x14ac:dyDescent="0.4"/>
    <row r="243" s="20" customFormat="1" x14ac:dyDescent="0.4"/>
    <row r="244" s="20" customFormat="1" x14ac:dyDescent="0.4"/>
    <row r="245" s="20" customFormat="1" x14ac:dyDescent="0.4"/>
    <row r="246" s="20" customFormat="1" x14ac:dyDescent="0.4"/>
    <row r="247" s="20" customFormat="1" x14ac:dyDescent="0.4"/>
    <row r="248" s="20" customFormat="1" x14ac:dyDescent="0.4"/>
    <row r="249" s="20" customFormat="1" x14ac:dyDescent="0.4"/>
    <row r="250" s="20" customFormat="1" x14ac:dyDescent="0.4"/>
    <row r="251" s="20" customFormat="1" x14ac:dyDescent="0.4"/>
    <row r="252" s="20" customFormat="1" x14ac:dyDescent="0.4"/>
    <row r="253" s="20" customFormat="1" x14ac:dyDescent="0.4"/>
    <row r="254" s="20" customFormat="1" x14ac:dyDescent="0.4"/>
    <row r="255" s="20" customFormat="1" x14ac:dyDescent="0.4"/>
    <row r="256" s="20" customFormat="1" x14ac:dyDescent="0.4"/>
    <row r="257" s="20" customFormat="1" x14ac:dyDescent="0.4"/>
    <row r="258" s="20" customFormat="1" x14ac:dyDescent="0.4"/>
    <row r="259" s="20" customFormat="1" x14ac:dyDescent="0.4"/>
    <row r="260" s="20" customFormat="1" x14ac:dyDescent="0.4"/>
    <row r="261" s="20" customFormat="1" x14ac:dyDescent="0.4"/>
    <row r="262" s="20" customFormat="1" x14ac:dyDescent="0.4"/>
    <row r="263" s="20" customFormat="1" x14ac:dyDescent="0.4"/>
    <row r="264" s="20" customFormat="1" x14ac:dyDescent="0.4"/>
    <row r="265" s="20" customFormat="1" x14ac:dyDescent="0.4"/>
    <row r="266" s="20" customFormat="1" x14ac:dyDescent="0.4"/>
    <row r="267" s="20" customFormat="1" x14ac:dyDescent="0.4"/>
    <row r="268" s="20" customFormat="1" x14ac:dyDescent="0.4"/>
    <row r="269" s="20" customFormat="1" x14ac:dyDescent="0.4"/>
    <row r="270" s="20" customFormat="1" x14ac:dyDescent="0.4"/>
    <row r="271" s="20" customFormat="1" x14ac:dyDescent="0.4"/>
    <row r="272" s="20" customFormat="1" x14ac:dyDescent="0.4"/>
    <row r="273" s="20" customFormat="1" x14ac:dyDescent="0.4"/>
    <row r="274" s="20" customFormat="1" x14ac:dyDescent="0.4"/>
    <row r="275" s="20" customFormat="1" x14ac:dyDescent="0.4"/>
    <row r="276" s="20" customFormat="1" x14ac:dyDescent="0.4"/>
    <row r="277" s="20" customFormat="1" x14ac:dyDescent="0.4"/>
    <row r="278" s="20" customFormat="1" x14ac:dyDescent="0.4"/>
    <row r="279" s="20" customFormat="1" x14ac:dyDescent="0.4"/>
    <row r="280" s="20" customFormat="1" x14ac:dyDescent="0.4"/>
    <row r="281" s="20" customFormat="1" x14ac:dyDescent="0.4"/>
    <row r="282" s="20" customFormat="1" x14ac:dyDescent="0.4"/>
    <row r="283" s="20" customFormat="1" x14ac:dyDescent="0.4"/>
    <row r="284" s="20" customFormat="1" x14ac:dyDescent="0.4"/>
    <row r="285" s="20" customFormat="1" x14ac:dyDescent="0.4"/>
    <row r="286" s="20" customFormat="1" x14ac:dyDescent="0.4"/>
    <row r="287" s="20" customFormat="1" x14ac:dyDescent="0.4"/>
    <row r="288" s="20" customFormat="1" x14ac:dyDescent="0.4"/>
    <row r="289" s="20" customFormat="1" x14ac:dyDescent="0.4"/>
    <row r="290" s="20" customFormat="1" x14ac:dyDescent="0.4"/>
    <row r="291" s="20" customFormat="1" x14ac:dyDescent="0.4"/>
    <row r="292" s="20" customFormat="1" x14ac:dyDescent="0.4"/>
    <row r="293" s="20" customFormat="1" x14ac:dyDescent="0.4"/>
    <row r="294" s="20" customFormat="1" x14ac:dyDescent="0.4"/>
    <row r="295" s="20" customFormat="1" x14ac:dyDescent="0.4"/>
    <row r="296" s="20" customFormat="1" x14ac:dyDescent="0.4"/>
    <row r="297" s="20" customFormat="1" x14ac:dyDescent="0.4"/>
    <row r="298" s="20" customFormat="1" x14ac:dyDescent="0.4"/>
    <row r="299" s="20" customFormat="1" x14ac:dyDescent="0.4"/>
    <row r="300" s="20" customFormat="1" x14ac:dyDescent="0.4"/>
    <row r="301" s="20" customFormat="1" x14ac:dyDescent="0.4"/>
    <row r="302" s="20" customFormat="1" x14ac:dyDescent="0.4"/>
    <row r="303" s="20" customFormat="1" x14ac:dyDescent="0.4"/>
    <row r="304" s="20" customFormat="1" x14ac:dyDescent="0.4"/>
    <row r="305" s="20" customFormat="1" x14ac:dyDescent="0.4"/>
    <row r="306" s="20" customFormat="1" x14ac:dyDescent="0.4"/>
    <row r="307" s="20" customFormat="1" x14ac:dyDescent="0.4"/>
    <row r="308" s="20" customFormat="1" x14ac:dyDescent="0.4"/>
    <row r="309" s="20" customFormat="1" x14ac:dyDescent="0.4"/>
    <row r="310" s="20" customFormat="1" x14ac:dyDescent="0.4"/>
    <row r="311" s="20" customFormat="1" x14ac:dyDescent="0.4"/>
    <row r="312" s="20" customFormat="1" x14ac:dyDescent="0.4"/>
    <row r="313" s="20" customFormat="1" x14ac:dyDescent="0.4"/>
    <row r="314" s="20" customFormat="1" x14ac:dyDescent="0.4"/>
    <row r="315" s="20" customFormat="1" x14ac:dyDescent="0.4"/>
    <row r="316" s="20" customFormat="1" x14ac:dyDescent="0.4"/>
    <row r="317" s="20" customFormat="1" x14ac:dyDescent="0.4"/>
    <row r="318" s="20" customFormat="1" x14ac:dyDescent="0.4"/>
    <row r="319" s="20" customFormat="1" x14ac:dyDescent="0.4"/>
    <row r="320" s="20" customFormat="1" x14ac:dyDescent="0.4"/>
    <row r="321" s="20" customFormat="1" x14ac:dyDescent="0.4"/>
    <row r="322" s="20" customFormat="1" x14ac:dyDescent="0.4"/>
    <row r="323" s="20" customFormat="1" x14ac:dyDescent="0.4"/>
    <row r="324" s="20" customFormat="1" x14ac:dyDescent="0.4"/>
    <row r="325" s="20" customFormat="1" x14ac:dyDescent="0.4"/>
    <row r="326" s="20" customFormat="1" x14ac:dyDescent="0.4"/>
    <row r="327" s="20" customFormat="1" x14ac:dyDescent="0.4"/>
    <row r="328" s="20" customFormat="1" x14ac:dyDescent="0.4"/>
    <row r="329" s="20" customFormat="1" x14ac:dyDescent="0.4"/>
    <row r="330" s="20" customFormat="1" x14ac:dyDescent="0.4"/>
    <row r="331" s="20" customFormat="1" x14ac:dyDescent="0.4"/>
    <row r="332" s="20" customFormat="1" x14ac:dyDescent="0.4"/>
    <row r="333" s="20" customFormat="1" x14ac:dyDescent="0.4"/>
    <row r="334" s="20" customFormat="1" x14ac:dyDescent="0.4"/>
    <row r="335" s="20" customFormat="1" x14ac:dyDescent="0.4"/>
    <row r="336" s="20" customFormat="1" x14ac:dyDescent="0.4"/>
    <row r="337" s="20" customFormat="1" x14ac:dyDescent="0.4"/>
    <row r="338" s="20" customFormat="1" x14ac:dyDescent="0.4"/>
    <row r="339" s="20" customFormat="1" x14ac:dyDescent="0.4"/>
    <row r="340" s="20" customFormat="1" x14ac:dyDescent="0.4"/>
    <row r="341" s="20" customFormat="1" x14ac:dyDescent="0.4"/>
    <row r="342" s="20" customFormat="1" x14ac:dyDescent="0.4"/>
    <row r="343" s="20" customFormat="1" x14ac:dyDescent="0.4"/>
    <row r="344" s="20" customFormat="1" x14ac:dyDescent="0.4"/>
    <row r="345" s="20" customFormat="1" x14ac:dyDescent="0.4"/>
    <row r="346" s="20" customFormat="1" x14ac:dyDescent="0.4"/>
    <row r="347" s="20" customFormat="1" x14ac:dyDescent="0.4"/>
    <row r="348" s="20" customFormat="1" x14ac:dyDescent="0.4"/>
    <row r="349" s="20" customFormat="1" x14ac:dyDescent="0.4"/>
    <row r="350" s="20" customFormat="1" x14ac:dyDescent="0.4"/>
    <row r="351" s="20" customFormat="1" x14ac:dyDescent="0.4"/>
    <row r="352" s="20" customFormat="1" x14ac:dyDescent="0.4"/>
    <row r="353" s="20" customFormat="1" x14ac:dyDescent="0.4"/>
    <row r="354" s="20" customFormat="1" x14ac:dyDescent="0.4"/>
    <row r="355" s="20" customFormat="1" x14ac:dyDescent="0.4"/>
    <row r="356" s="20" customFormat="1" x14ac:dyDescent="0.4"/>
    <row r="357" s="20" customFormat="1" x14ac:dyDescent="0.4"/>
    <row r="358" s="20" customFormat="1" x14ac:dyDescent="0.4"/>
    <row r="359" s="20" customFormat="1" x14ac:dyDescent="0.4"/>
    <row r="360" s="20" customFormat="1" x14ac:dyDescent="0.4"/>
    <row r="361" s="20" customFormat="1" x14ac:dyDescent="0.4"/>
    <row r="362" s="20" customFormat="1" x14ac:dyDescent="0.4"/>
    <row r="363" s="20" customFormat="1" x14ac:dyDescent="0.4"/>
    <row r="364" s="20" customFormat="1" x14ac:dyDescent="0.4"/>
    <row r="365" s="20" customFormat="1" x14ac:dyDescent="0.4"/>
    <row r="366" s="20" customFormat="1" x14ac:dyDescent="0.4"/>
    <row r="367" s="20" customFormat="1" x14ac:dyDescent="0.4"/>
    <row r="368" s="20" customFormat="1" x14ac:dyDescent="0.4"/>
    <row r="369" s="20" customFormat="1" x14ac:dyDescent="0.4"/>
    <row r="370" s="20" customFormat="1" x14ac:dyDescent="0.4"/>
    <row r="371" s="20" customFormat="1" x14ac:dyDescent="0.4"/>
    <row r="372" s="20" customFormat="1" x14ac:dyDescent="0.4"/>
    <row r="373" s="20" customFormat="1" x14ac:dyDescent="0.4"/>
    <row r="374" s="20" customFormat="1" x14ac:dyDescent="0.4"/>
    <row r="375" s="20" customFormat="1" x14ac:dyDescent="0.4"/>
    <row r="376" s="20" customFormat="1" x14ac:dyDescent="0.4"/>
    <row r="377" s="20" customFormat="1" x14ac:dyDescent="0.4"/>
    <row r="378" s="20" customFormat="1" x14ac:dyDescent="0.4"/>
    <row r="379" s="20" customFormat="1" x14ac:dyDescent="0.4"/>
  </sheetData>
  <mergeCells count="20">
    <mergeCell ref="B14:D14"/>
    <mergeCell ref="B15:D15"/>
    <mergeCell ref="E15:N15"/>
    <mergeCell ref="O15:S15"/>
    <mergeCell ref="B2:P2"/>
    <mergeCell ref="B3:P3"/>
    <mergeCell ref="B11:D11"/>
    <mergeCell ref="B12:D12"/>
    <mergeCell ref="B13:D13"/>
    <mergeCell ref="B5:P5"/>
    <mergeCell ref="B7:C7"/>
    <mergeCell ref="D7:E7"/>
    <mergeCell ref="F7:H7"/>
    <mergeCell ref="E12:N12"/>
    <mergeCell ref="E13:N13"/>
    <mergeCell ref="E14:N14"/>
    <mergeCell ref="E11:N11"/>
    <mergeCell ref="O12:S12"/>
    <mergeCell ref="O13:S13"/>
    <mergeCell ref="O14:S14"/>
  </mergeCells>
  <phoneticPr fontId="4" type="noConversion"/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"/>
  <sheetViews>
    <sheetView workbookViewId="0">
      <pane xSplit="5" ySplit="1" topLeftCell="I2" activePane="bottomRight" state="frozen"/>
      <selection pane="topRight" activeCell="D1" sqref="D1"/>
      <selection pane="bottomLeft" activeCell="A2" sqref="A2"/>
      <selection pane="bottomRight" activeCell="J15" sqref="J15"/>
    </sheetView>
  </sheetViews>
  <sheetFormatPr defaultColWidth="35.81640625" defaultRowHeight="17" x14ac:dyDescent="0.4"/>
  <cols>
    <col min="1" max="1" width="5.453125" bestFit="1" customWidth="1"/>
    <col min="2" max="4" width="6.90625" customWidth="1"/>
    <col min="5" max="5" width="45.453125" bestFit="1" customWidth="1"/>
    <col min="6" max="8" width="7.1796875" style="18" hidden="1" customWidth="1"/>
    <col min="9" max="11" width="7.1796875" style="18" customWidth="1"/>
    <col min="12" max="12" width="10.1796875" style="18" customWidth="1"/>
    <col min="13" max="13" width="13.90625" style="18" bestFit="1" customWidth="1"/>
    <col min="14" max="14" width="20.36328125" bestFit="1" customWidth="1"/>
    <col min="15" max="16" width="12.6328125" customWidth="1"/>
    <col min="17" max="17" width="14.81640625" bestFit="1" customWidth="1"/>
    <col min="18" max="18" width="14.81640625" customWidth="1"/>
    <col min="19" max="19" width="13.453125" bestFit="1" customWidth="1"/>
    <col min="20" max="20" width="16.08984375" bestFit="1" customWidth="1"/>
    <col min="21" max="21" width="14.6328125" bestFit="1" customWidth="1"/>
    <col min="22" max="24" width="12.6328125" customWidth="1"/>
    <col min="25" max="25" width="19.453125" bestFit="1" customWidth="1"/>
    <col min="26" max="26" width="11.90625" bestFit="1" customWidth="1"/>
    <col min="27" max="27" width="14.36328125" bestFit="1" customWidth="1"/>
    <col min="28" max="28" width="20.453125" bestFit="1" customWidth="1"/>
    <col min="29" max="29" width="22.90625" bestFit="1" customWidth="1"/>
    <col min="30" max="32" width="12.6328125" customWidth="1"/>
    <col min="33" max="33" width="16.36328125" bestFit="1" customWidth="1"/>
    <col min="34" max="44" width="12.6328125" customWidth="1"/>
    <col min="45" max="45" width="14.90625" customWidth="1"/>
    <col min="46" max="46" width="16.81640625" customWidth="1"/>
    <col min="47" max="47" width="12.6328125" customWidth="1"/>
    <col min="48" max="48" width="27.36328125" bestFit="1" customWidth="1"/>
    <col min="49" max="51" width="12.6328125" customWidth="1"/>
  </cols>
  <sheetData>
    <row r="1" spans="1:51" s="17" customFormat="1" ht="36.9" customHeight="1" x14ac:dyDescent="0.4">
      <c r="A1" s="28" t="s">
        <v>48</v>
      </c>
      <c r="B1" s="159" t="s">
        <v>68</v>
      </c>
      <c r="C1" s="160"/>
      <c r="D1" s="161"/>
      <c r="E1" s="29" t="s">
        <v>46</v>
      </c>
      <c r="F1" s="153" t="s">
        <v>93</v>
      </c>
      <c r="G1" s="154"/>
      <c r="H1" s="155"/>
      <c r="I1" s="153" t="s">
        <v>94</v>
      </c>
      <c r="J1" s="154"/>
      <c r="K1" s="155"/>
      <c r="L1" s="15" t="s">
        <v>92</v>
      </c>
      <c r="M1" s="15" t="s">
        <v>49</v>
      </c>
      <c r="N1" s="15" t="s">
        <v>50</v>
      </c>
      <c r="O1" s="15" t="s">
        <v>69</v>
      </c>
      <c r="P1" s="15" t="s">
        <v>149</v>
      </c>
      <c r="Q1" s="15" t="s">
        <v>113</v>
      </c>
      <c r="R1" s="30" t="s">
        <v>57</v>
      </c>
      <c r="S1" s="30" t="s">
        <v>15</v>
      </c>
      <c r="T1" s="30" t="s">
        <v>16</v>
      </c>
      <c r="U1" s="30" t="s">
        <v>17</v>
      </c>
      <c r="V1" s="30" t="s">
        <v>18</v>
      </c>
      <c r="W1" s="30" t="s">
        <v>19</v>
      </c>
      <c r="X1" s="30" t="s">
        <v>20</v>
      </c>
      <c r="Y1" s="30" t="s">
        <v>21</v>
      </c>
      <c r="Z1" s="30" t="s">
        <v>22</v>
      </c>
      <c r="AA1" s="30" t="s">
        <v>23</v>
      </c>
      <c r="AB1" s="30" t="s">
        <v>42</v>
      </c>
      <c r="AC1" s="30" t="s">
        <v>43</v>
      </c>
      <c r="AD1" s="30" t="s">
        <v>24</v>
      </c>
      <c r="AE1" s="30" t="s">
        <v>25</v>
      </c>
      <c r="AF1" s="30" t="s">
        <v>26</v>
      </c>
      <c r="AG1" s="30" t="s">
        <v>27</v>
      </c>
      <c r="AH1" s="30" t="s">
        <v>28</v>
      </c>
      <c r="AI1" s="30" t="s">
        <v>29</v>
      </c>
      <c r="AJ1" s="30" t="s">
        <v>30</v>
      </c>
      <c r="AK1" s="30" t="s">
        <v>31</v>
      </c>
      <c r="AL1" s="30" t="s">
        <v>32</v>
      </c>
      <c r="AM1" s="30" t="s">
        <v>33</v>
      </c>
      <c r="AN1" s="30" t="s">
        <v>34</v>
      </c>
      <c r="AO1" s="30" t="s">
        <v>35</v>
      </c>
      <c r="AP1" s="30" t="s">
        <v>36</v>
      </c>
      <c r="AQ1" s="30" t="s">
        <v>37</v>
      </c>
      <c r="AR1" s="16" t="s">
        <v>47</v>
      </c>
      <c r="AS1" s="30" t="s">
        <v>38</v>
      </c>
      <c r="AT1" s="30" t="s">
        <v>39</v>
      </c>
      <c r="AU1" s="30" t="s">
        <v>40</v>
      </c>
      <c r="AV1" s="16" t="s">
        <v>51</v>
      </c>
      <c r="AW1" s="30" t="s">
        <v>41</v>
      </c>
      <c r="AX1" s="30" t="s">
        <v>44</v>
      </c>
      <c r="AY1" s="31" t="s">
        <v>52</v>
      </c>
    </row>
    <row r="2" spans="1:51" x14ac:dyDescent="0.4">
      <c r="A2" s="14">
        <v>1</v>
      </c>
      <c r="B2" s="156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90IG0AN0-MA1A0V</v>
      </c>
      <c r="C2" s="157"/>
      <c r="D2" s="158"/>
      <c r="E2" s="13" t="str">
        <f>'90編碼原則'!B5</f>
        <v>GT-BN98 PRO/US/11/P_US//PW</v>
      </c>
      <c r="F2" s="156" t="s">
        <v>131</v>
      </c>
      <c r="G2" s="157"/>
      <c r="H2" s="158"/>
      <c r="I2" s="156" t="s">
        <v>151</v>
      </c>
      <c r="J2" s="157"/>
      <c r="K2" s="158"/>
      <c r="L2" s="14">
        <v>1</v>
      </c>
      <c r="M2" s="14" t="s">
        <v>45</v>
      </c>
      <c r="N2" s="14">
        <v>0</v>
      </c>
      <c r="O2" s="14" t="s">
        <v>53</v>
      </c>
      <c r="P2" s="14" t="s">
        <v>150</v>
      </c>
      <c r="Q2" s="14" t="s">
        <v>153</v>
      </c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13" t="s">
        <v>54</v>
      </c>
      <c r="AS2" s="76"/>
      <c r="AT2" s="76"/>
      <c r="AU2" s="76"/>
      <c r="AV2" s="13" t="s">
        <v>58</v>
      </c>
      <c r="AW2" s="76"/>
      <c r="AX2" s="76"/>
      <c r="AY2" s="76"/>
    </row>
    <row r="3" spans="1:51" ht="16.399999999999999" customHeight="1" x14ac:dyDescent="0.4">
      <c r="A3" s="14"/>
      <c r="B3" s="156"/>
      <c r="C3" s="157"/>
      <c r="D3" s="158"/>
      <c r="E3" s="13"/>
      <c r="F3" s="156"/>
      <c r="G3" s="157"/>
      <c r="H3" s="158"/>
      <c r="I3" s="156"/>
      <c r="J3" s="157"/>
      <c r="K3" s="158"/>
      <c r="L3" s="14"/>
      <c r="M3" s="14"/>
      <c r="N3" s="14"/>
      <c r="O3" s="14"/>
      <c r="P3" s="14"/>
      <c r="Q3" s="14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13"/>
      <c r="AS3" s="76"/>
      <c r="AT3" s="76"/>
      <c r="AU3" s="76"/>
      <c r="AV3" s="13"/>
      <c r="AW3" s="76"/>
      <c r="AX3" s="76"/>
      <c r="AY3" s="76"/>
    </row>
    <row r="4" spans="1:51" x14ac:dyDescent="0.4">
      <c r="A4" s="14"/>
      <c r="B4" s="156"/>
      <c r="C4" s="157"/>
      <c r="D4" s="158"/>
      <c r="E4" s="13"/>
      <c r="F4" s="156"/>
      <c r="G4" s="157"/>
      <c r="H4" s="158"/>
      <c r="I4" s="156"/>
      <c r="J4" s="157"/>
      <c r="K4" s="158"/>
      <c r="L4" s="14"/>
      <c r="M4" s="14"/>
      <c r="N4" s="14"/>
      <c r="O4" s="14"/>
      <c r="P4" s="14"/>
      <c r="Q4" s="14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13"/>
      <c r="AS4" s="76"/>
      <c r="AT4" s="76"/>
      <c r="AU4" s="76"/>
      <c r="AV4" s="13"/>
      <c r="AW4" s="76"/>
      <c r="AX4" s="76"/>
      <c r="AY4" s="76"/>
    </row>
  </sheetData>
  <mergeCells count="12">
    <mergeCell ref="B4:D4"/>
    <mergeCell ref="F4:H4"/>
    <mergeCell ref="I4:K4"/>
    <mergeCell ref="B3:D3"/>
    <mergeCell ref="F3:H3"/>
    <mergeCell ref="I3:K3"/>
    <mergeCell ref="F1:H1"/>
    <mergeCell ref="F2:H2"/>
    <mergeCell ref="B1:D1"/>
    <mergeCell ref="B2:D2"/>
    <mergeCell ref="I1:K1"/>
    <mergeCell ref="I2:K2"/>
  </mergeCells>
  <phoneticPr fontId="4" type="noConversion"/>
  <dataValidations count="1">
    <dataValidation showInputMessage="1" showErrorMessage="1" prompt="選擇出貨地語言別" sqref="AV1" xr:uid="{00000000-0002-0000-0300-000000000000}"/>
  </dataValidations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 activeCell="T28" sqref="T28"/>
    </sheetView>
  </sheetViews>
  <sheetFormatPr defaultRowHeight="17" x14ac:dyDescent="0.4"/>
  <cols>
    <col min="1" max="1" width="7" style="18" customWidth="1"/>
    <col min="2" max="2" width="20.453125" bestFit="1" customWidth="1"/>
    <col min="3" max="3" width="45.453125" bestFit="1" customWidth="1"/>
    <col min="4" max="4" width="16" customWidth="1"/>
  </cols>
  <sheetData>
    <row r="1" spans="1:4" s="4" customFormat="1" ht="35.25" customHeight="1" x14ac:dyDescent="0.4">
      <c r="A1" s="33" t="s">
        <v>14</v>
      </c>
      <c r="B1" s="32" t="s">
        <v>70</v>
      </c>
      <c r="C1" s="32" t="s">
        <v>55</v>
      </c>
      <c r="D1" s="19" t="s">
        <v>56</v>
      </c>
    </row>
    <row r="2" spans="1:4" s="22" customFormat="1" x14ac:dyDescent="0.4">
      <c r="A2" s="14">
        <v>1</v>
      </c>
      <c r="B2" s="13" t="str">
        <f>'90編碼原則'!H5&amp;'90編碼原則'!I5&amp;'90編碼原則'!J5&amp;'90編碼原則'!K5&amp;'90編碼原則'!L5&amp;'90編碼原則'!M5&amp;'90編碼原則'!N5&amp;'90編碼原則'!O5&amp;'90編碼原則'!P5&amp;'90編碼原則'!Q5&amp;'90編碼原則'!R5&amp;'90編碼原則'!S5&amp;'90編碼原則'!T5&amp;'90編碼原則'!U5&amp;'90編碼原則'!V5&amp;'90編碼原則'!W5</f>
        <v>90IG0AN0-MA1A0V</v>
      </c>
      <c r="C2" s="13" t="str">
        <f>'90編碼原則'!B5</f>
        <v>GT-BN98 PRO/US/11/P_US//PW</v>
      </c>
      <c r="D2" s="14" t="s">
        <v>124</v>
      </c>
    </row>
    <row r="3" spans="1:4" s="22" customFormat="1" x14ac:dyDescent="0.4">
      <c r="A3" s="14"/>
      <c r="B3" s="13"/>
      <c r="C3" s="13"/>
      <c r="D3" s="14"/>
    </row>
    <row r="4" spans="1:4" s="22" customFormat="1" x14ac:dyDescent="0.4">
      <c r="A4" s="14"/>
      <c r="B4" s="13"/>
      <c r="C4" s="13"/>
      <c r="D4" s="14"/>
    </row>
  </sheetData>
  <phoneticPr fontId="4" type="noConversion"/>
  <pageMargins left="0.7" right="0.7" top="0.75" bottom="0.75" header="0.3" footer="0.3"/>
  <pageSetup paperSize="9" orientation="portrait" r:id="rId1"/>
  <headerFooter>
    <oddHeader>&amp;L&amp;"Aptos"&amp;10&amp;K0000FF ASUS_General&amp;1#_x000D_</oddHeader>
    <oddFooter>&amp;L_x000D_&amp;1#&amp;"Aptos"&amp;10&amp;K0000FF ASUS_General</oddFooter>
  </headerFooter>
  <legacyDrawing r:id="rId2"/>
</worksheet>
</file>

<file path=docMetadata/LabelInfo.xml><?xml version="1.0" encoding="utf-8"?>
<clbl:labelList xmlns:clbl="http://schemas.microsoft.com/office/2020/mipLabelMetadata">
  <clbl:label id="{a5fa89a6-cdb7-447e-847e-79926e662cff}" enabled="1" method="Standard" siteId="{301f59c4-c269-4a66-8a8c-f5daab211fa3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90編碼原則</vt:lpstr>
      <vt:lpstr>89編碼原則</vt:lpstr>
      <vt:lpstr>80 編碼原則</vt:lpstr>
      <vt:lpstr>90 BOM &amp; Catalog Template</vt:lpstr>
      <vt:lpstr>Assign EMS 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Catalog_90IG Template</dc:title>
  <dc:creator>Shawna Cheng(程怡瑄)</dc:creator>
  <cp:lastModifiedBy>Tannie Lo(羅雅丹)</cp:lastModifiedBy>
  <cp:lastPrinted>2021-12-15T02:22:33Z</cp:lastPrinted>
  <dcterms:created xsi:type="dcterms:W3CDTF">2012-03-15T00:46:38Z</dcterms:created>
  <dcterms:modified xsi:type="dcterms:W3CDTF">2026-09-20T12:35:14Z</dcterms:modified>
</cp:coreProperties>
</file>