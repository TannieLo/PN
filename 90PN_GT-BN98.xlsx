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_工作資料夾\86_Claude\各式表單入口\90料號\"/>
    </mc:Choice>
  </mc:AlternateContent>
  <xr:revisionPtr revIDLastSave="0" documentId="13_ncr:1_{F06FF3AB-6868-4AEA-B73D-62B670DD6746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90編碼原則" sheetId="1" r:id="rId1"/>
    <sheet name="89編碼原則" sheetId="2" state="hidden" r:id="rId2"/>
    <sheet name="80 編碼原則" sheetId="3" r:id="rId3"/>
    <sheet name="90 BOM &amp; Catalog Template" sheetId="4" r:id="rId4"/>
    <sheet name="Assign EMS org" sheetId="5" r:id="rId5"/>
    <sheet name="Region &amp; Adapter" sheetId="6" r:id="rId6"/>
    <sheet name="Language" sheetId="7" r:id="rId7"/>
    <sheet name="EMS Org" sheetId="8" r:id="rId8"/>
    <sheet name="外包商代碼" sheetId="9" r:id="rId9"/>
    <sheet name="Channel" sheetId="10" r:id="rId10"/>
    <sheet name="保留碼" sheetId="11" r:id="rId11"/>
    <sheet name="Remark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B2" i="5"/>
  <c r="E2" i="4"/>
  <c r="B2" i="4"/>
  <c r="H8" i="3"/>
  <c r="G8" i="3"/>
  <c r="F8" i="3"/>
  <c r="H12" i="2"/>
  <c r="G12" i="2"/>
  <c r="F12" i="2"/>
  <c r="B8" i="1"/>
  <c r="B7" i="1"/>
  <c r="B6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B2" authorId="0" shapeId="0" xr:uid="{00000000-0006-0000-0000-000001000000}">
      <text>
        <r>
          <rPr>
            <sz val="12"/>
            <color theme="1"/>
            <rFont val="新細明體"/>
            <family val="2"/>
            <charset val="136"/>
          </rPr>
          <t xml:space="preserve"> 雙斜線&lt;//&gt; 左右各只能放30個字元(含空格)</t>
        </r>
      </text>
    </comment>
    <comment ref="E3" authorId="0" shapeId="0" xr:uid="{00000000-0006-0000-0000-000002000000}">
      <text>
        <r>
          <rPr>
            <sz val="12"/>
            <color theme="1"/>
            <rFont val="新細明體"/>
            <family val="2"/>
            <charset val="136"/>
          </rPr>
          <t>可參考Sheet 【Region &amp; Adapter】</t>
        </r>
      </text>
    </comment>
    <comment ref="F3" authorId="0" shapeId="0" xr:uid="{00000000-0006-0000-0000-000003000000}">
      <text>
        <r>
          <rPr>
            <sz val="12"/>
            <color theme="1"/>
            <rFont val="新細明體"/>
            <family val="2"/>
            <charset val="136"/>
          </rPr>
          <t>可參考Sheet 【Region &amp; Adapter】</t>
        </r>
      </text>
    </comment>
    <comment ref="H3" authorId="0" shapeId="0" xr:uid="{00000000-0006-0000-0000-000004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I3" authorId="0" shapeId="0" xr:uid="{00000000-0006-0000-0000-000005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J3" authorId="0" shapeId="0" xr:uid="{00000000-0006-0000-0000-000006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K3" authorId="0" shapeId="0" xr:uid="{00000000-0006-0000-0000-000007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L3" authorId="0" shapeId="0" xr:uid="{00000000-0006-0000-0000-000008000000}">
      <text>
        <r>
          <rPr>
            <sz val="12"/>
            <color theme="1"/>
            <rFont val="新細明體"/>
            <family val="2"/>
            <charset val="136"/>
          </rPr>
          <t xml:space="preserve"> PLM系統 Project Code (1/3碼)</t>
        </r>
      </text>
    </comment>
    <comment ref="M3" authorId="0" shapeId="0" xr:uid="{00000000-0006-0000-0000-000009000000}">
      <text>
        <r>
          <rPr>
            <sz val="12"/>
            <color theme="1"/>
            <rFont val="新細明體"/>
            <family val="2"/>
            <charset val="136"/>
          </rPr>
          <t xml:space="preserve"> PLM系統 Project Code (2/3碼)</t>
        </r>
      </text>
    </comment>
    <comment ref="N3" authorId="0" shapeId="0" xr:uid="{00000000-0006-0000-0000-00000A000000}">
      <text>
        <r>
          <rPr>
            <sz val="12"/>
            <color theme="1"/>
            <rFont val="新細明體"/>
            <family val="2"/>
            <charset val="136"/>
          </rPr>
          <t xml:space="preserve"> PLM系統 Project Code (3/3碼)</t>
        </r>
      </text>
    </comment>
    <comment ref="O3" authorId="0" shapeId="0" xr:uid="{00000000-0006-0000-0000-00000B000000}">
      <text>
        <r>
          <rPr>
            <sz val="12"/>
            <color theme="1"/>
            <rFont val="新細明體"/>
            <family val="2"/>
            <charset val="136"/>
          </rPr>
          <t xml:space="preserve">Channel
0 : Default
A : for Amazon
B : for BBY
W: for Walmart
1-9 : 表示產品版本
        (2021/04 停止使用版本標示)
</t>
        </r>
      </text>
    </comment>
    <comment ref="Q3" authorId="0" shapeId="0" xr:uid="{00000000-0006-0000-0000-00000C000000}">
      <text>
        <r>
          <rPr>
            <sz val="12"/>
            <color theme="1"/>
            <rFont val="新細明體"/>
            <family val="2"/>
            <charset val="136"/>
          </rPr>
          <t>屬性
M :  MP (Defult)
P: Spare Parts</t>
        </r>
      </text>
    </comment>
    <comment ref="R3" authorId="0" shapeId="0" xr:uid="{00000000-0006-0000-0000-00000D000000}">
      <text>
        <r>
          <rPr>
            <sz val="12"/>
            <color theme="1"/>
            <rFont val="新細明體"/>
            <family val="2"/>
            <charset val="136"/>
          </rPr>
          <t>Region
可參考Sheet 【Region &amp; Adapter】
0：DUMMY
A：US
B：Mexico
C：China
E：Iran/Egypt/Tailand/India/Indonesia/Bangladesh/Pakistan
F：APAC Universal (2.4G Channel 11)
G：APAC Universal (2.4G Channel 13) 2024.09取消
H：HongKong
I：India
J：Japan 
L：Israel
K：Korea
M：Western Europe/Eastern Europe/South Africa
N：Eastern Europe
O：Europe
P：Argentina
R：Russia
S：Singapore/Malaysia
T：Taiwan
U：UK
W：Worldwide
X：Canada
Y：Brazil
Z：Australia/New Zealand  2024.09取消</t>
        </r>
      </text>
    </comment>
    <comment ref="S3" authorId="0" shapeId="0" xr:uid="{00000000-0006-0000-0000-00000E000000}">
      <text>
        <r>
          <rPr>
            <sz val="12"/>
            <color theme="1"/>
            <rFont val="新細明體"/>
            <family val="2"/>
            <charset val="136"/>
          </rPr>
          <t xml:space="preserve">Adapter
可參考Sheet 【Region &amp; Adapter】
0 : DUMMY
1 : US (TWN)
2 : UK (UK, APAC UK)
3 : EU (EU, APAC EU)
4 : Korea
5 : China
6 : Japan
7 : Australia
8 : Brazil
9 : EU Universal (EU+UK)
A : APAC Universal (EU+UK+AU)
B : Argentina
C : India </t>
        </r>
      </text>
    </comment>
    <comment ref="T3" authorId="0" shapeId="0" xr:uid="{00000000-0006-0000-0000-00000F000000}">
      <text>
        <r>
          <rPr>
            <sz val="12"/>
            <color theme="1"/>
            <rFont val="新細明體"/>
            <family val="2"/>
            <charset val="136"/>
          </rPr>
          <t xml:space="preserve">外包商代碼
可參考Sheet 【Language &amp; EMS】
A : 智易 Arcadyan
B : 訊舟 Acelink
C : 同維/共進
D : 亞旭 Askey
E  : 金磚
F  : 啟碁
G : 晶訊
H : 世紀本原
I   : (不使用，因為與數字1相似)
J   : 華芸
K  : 品威
L   : 東碩
M : 康全
N  : 正文
O  : (不使用，因為與數字0相似)
P  : 微網優聯
Q  : 微網力合
R   : 偉迪
S   :
T   :
U  :
V  :
W :
X :
Y :
Z :
</t>
        </r>
      </text>
    </comment>
    <comment ref="U3" authorId="0" shapeId="0" xr:uid="{00000000-0006-0000-0000-000010000000}">
      <text>
        <r>
          <rPr>
            <sz val="12"/>
            <color theme="1"/>
            <rFont val="新細明體"/>
            <family val="2"/>
            <charset val="136"/>
          </rPr>
          <t>可使用0~9、A~Z</t>
        </r>
      </text>
    </comment>
    <comment ref="V3" authorId="0" shapeId="0" xr:uid="{00000000-0006-0000-0000-000011000000}">
      <text>
        <r>
          <rPr>
            <sz val="12"/>
            <color theme="1"/>
            <rFont val="新細明體"/>
            <family val="2"/>
            <charset val="136"/>
          </rPr>
          <t xml:space="preserve">保留碼
0 : Defult 中國生產 MIC
1 : 母機/Router (停止使用)
2 : 子機/Node (停止使用)
9 : 福利品 Refurbish
C : For CSC (For 客服入賬使用)
S : For 參展樣品 (限NPI機種使用)
T : 台灣生產 MIT
V : 越南生產 MIV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B10" authorId="0" shapeId="0" xr:uid="{00000000-0006-0000-0100-000001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C10" authorId="0" shapeId="0" xr:uid="{00000000-0006-0000-0100-000002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D10" authorId="0" shapeId="0" xr:uid="{00000000-0006-0000-0100-000003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E10" authorId="0" shapeId="0" xr:uid="{00000000-0006-0000-0100-000004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F10" authorId="0" shapeId="0" xr:uid="{00000000-0006-0000-0100-000005000000}">
      <text>
        <r>
          <rPr>
            <sz val="12"/>
            <color theme="1"/>
            <rFont val="新細明體"/>
            <family val="2"/>
            <charset val="136"/>
          </rPr>
          <t xml:space="preserve"> PLM系統 Project Code (1/3碼)</t>
        </r>
      </text>
    </comment>
    <comment ref="G10" authorId="0" shapeId="0" xr:uid="{00000000-0006-0000-0100-000006000000}">
      <text>
        <r>
          <rPr>
            <sz val="12"/>
            <color theme="1"/>
            <rFont val="新細明體"/>
            <family val="2"/>
            <charset val="136"/>
          </rPr>
          <t xml:space="preserve"> PLM系統 Project Code (2/3碼)</t>
        </r>
      </text>
    </comment>
    <comment ref="H10" authorId="0" shapeId="0" xr:uid="{00000000-0006-0000-0100-000007000000}">
      <text>
        <r>
          <rPr>
            <sz val="12"/>
            <color theme="1"/>
            <rFont val="新細明體"/>
            <family val="2"/>
            <charset val="136"/>
          </rPr>
          <t xml:space="preserve"> PLM系統 Project Code (3/3碼)</t>
        </r>
      </text>
    </comment>
    <comment ref="I10" authorId="0" shapeId="0" xr:uid="{00000000-0006-0000-0100-000008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K10" authorId="0" shapeId="0" xr:uid="{00000000-0006-0000-0100-000009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L10" authorId="0" shapeId="0" xr:uid="{00000000-0006-0000-0100-00000A000000}">
      <text>
        <r>
          <rPr>
            <sz val="12"/>
            <color theme="1"/>
            <rFont val="新細明體"/>
            <family val="2"/>
            <charset val="136"/>
          </rPr>
          <t>固定不變</t>
        </r>
      </text>
    </comment>
    <comment ref="M10" authorId="0" shapeId="0" xr:uid="{00000000-0006-0000-0100-00000B000000}">
      <text>
        <r>
          <rPr>
            <sz val="12"/>
            <color theme="1"/>
            <rFont val="新細明體"/>
            <family val="2"/>
            <charset val="136"/>
          </rPr>
          <t>Region
與90料號的Region相同
0：DUMMY
A：US
C：China
E：Iran/Egypt/Tailand/India/Indonesia/Bangladesh/Pakistan
F：APAC Universal (2.4G Channel 11)
G：APAC Universal (2.4G Channel 13)
H：HongKong
I：India
J：Japan 
L：Israel
K：Korea
M：Western Europe/Eastern Europe/South Africa
N：Eastern Europe
O：Europe
P：Argentina
R：Russia
S：Singapore/Malaysia
T：Taiwan
U：UK
W：Worldwide
X：Canada
Y：Brazil
Z：Australia/New Zealand</t>
        </r>
      </text>
    </comment>
    <comment ref="O10" authorId="0" shapeId="0" xr:uid="{00000000-0006-0000-0100-00000C000000}">
      <text>
        <r>
          <rPr>
            <sz val="12"/>
            <color theme="1"/>
            <rFont val="新細明體"/>
            <family val="2"/>
            <charset val="136"/>
          </rPr>
          <t>可使用0~9、A~Z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F6" authorId="0" shapeId="0" xr:uid="{00000000-0006-0000-0200-000001000000}">
      <text>
        <r>
          <rPr>
            <sz val="12"/>
            <color theme="1"/>
            <rFont val="新細明體"/>
            <family val="2"/>
            <charset val="136"/>
          </rPr>
          <t xml:space="preserve"> PLM系統 Project Code (1/3碼)</t>
        </r>
      </text>
    </comment>
    <comment ref="G6" authorId="0" shapeId="0" xr:uid="{00000000-0006-0000-0200-000002000000}">
      <text>
        <r>
          <rPr>
            <sz val="12"/>
            <color theme="1"/>
            <rFont val="新細明體"/>
            <family val="2"/>
            <charset val="136"/>
          </rPr>
          <t xml:space="preserve"> PLM系統 Project Code (2/3碼)</t>
        </r>
      </text>
    </comment>
    <comment ref="H6" authorId="0" shapeId="0" xr:uid="{00000000-0006-0000-0200-000003000000}">
      <text>
        <r>
          <rPr>
            <sz val="12"/>
            <color theme="1"/>
            <rFont val="新細明體"/>
            <family val="2"/>
            <charset val="136"/>
          </rPr>
          <t xml:space="preserve"> PLM系統 Project Code (3/3碼)</t>
        </r>
      </text>
    </comment>
    <comment ref="I6" authorId="0" shapeId="0" xr:uid="{00000000-0006-0000-0200-000004000000}">
      <text>
        <r>
          <rPr>
            <sz val="12"/>
            <color theme="1"/>
            <rFont val="新細明體"/>
            <family val="2"/>
            <charset val="136"/>
          </rPr>
          <t xml:space="preserve"> 0: 不分色
 B: Black
 W: White
</t>
        </r>
      </text>
    </comment>
    <comment ref="K6" authorId="0" shapeId="0" xr:uid="{00000000-0006-0000-0200-000005000000}">
      <text>
        <r>
          <rPr>
            <sz val="12"/>
            <color theme="1"/>
            <rFont val="新細明體"/>
            <family val="2"/>
            <charset val="136"/>
          </rPr>
          <t>M : Defult</t>
        </r>
      </text>
    </comment>
    <comment ref="L6" authorId="0" shapeId="0" xr:uid="{00000000-0006-0000-0200-000006000000}">
      <text>
        <r>
          <rPr>
            <sz val="12"/>
            <color theme="1"/>
            <rFont val="新細明體"/>
            <family val="2"/>
            <charset val="136"/>
          </rPr>
          <t xml:space="preserve"> 0: All sku通用 (Default)
 A: PCBA_US
 B: PCBA_EU
 E: EPA 
 I: IPA</t>
        </r>
      </text>
    </comment>
    <comment ref="M6" authorId="0" shapeId="0" xr:uid="{00000000-0006-0000-0200-000007000000}">
      <text>
        <r>
          <rPr>
            <sz val="12"/>
            <color theme="1"/>
            <rFont val="新細明體"/>
            <family val="2"/>
            <charset val="136"/>
          </rPr>
          <t xml:space="preserve"> 0: 不分子母機的機種(一般Router/PCE/USB等) 
 R: 子母機的Router
 N: 子母機的Node</t>
        </r>
      </text>
    </comment>
    <comment ref="N6" authorId="0" shapeId="0" xr:uid="{00000000-0006-0000-0200-000008000000}">
      <text>
        <r>
          <rPr>
            <sz val="12"/>
            <color theme="1"/>
            <rFont val="新細明體"/>
            <family val="2"/>
            <charset val="136"/>
          </rPr>
          <t xml:space="preserve"> 1: 1pk
 2: 2pk
 3: 3pk</t>
        </r>
      </text>
    </comment>
    <comment ref="O6" authorId="0" shapeId="0" xr:uid="{00000000-0006-0000-0200-000009000000}">
      <text>
        <r>
          <rPr>
            <sz val="12"/>
            <color theme="1"/>
            <rFont val="新細明體"/>
            <family val="2"/>
            <charset val="136"/>
          </rPr>
          <t>可使用0~9、A~Z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F1" authorId="0" shapeId="0" xr:uid="{00000000-0006-0000-0300-000001000000}">
      <text>
        <r>
          <rPr>
            <sz val="12"/>
            <color theme="1"/>
            <rFont val="新細明體"/>
            <family val="2"/>
            <charset val="136"/>
          </rPr>
          <t xml:space="preserve">
填入90料號所對應的80料號
一般只有1組80通用All sku
EPA / IPA 或是PCBA_US / PCBA_EU
需分開2組80
Mesh機種，依需求設定80料號</t>
        </r>
      </text>
    </comment>
    <comment ref="I1" authorId="0" shapeId="0" xr:uid="{00000000-0006-0000-0300-000002000000}">
      <text>
        <r>
          <rPr>
            <sz val="12"/>
            <color theme="1"/>
            <rFont val="新細明體"/>
            <family val="2"/>
            <charset val="136"/>
          </rPr>
          <t xml:space="preserve">
填入90料號所對應的80料號
一般只有1組80通用All sku
EPA / IPA 或是PCBA_US / PCBA_EU
需分開2組80
Mesh機種，依需求設定80料號</t>
        </r>
      </text>
    </comment>
    <comment ref="L1" authorId="0" shapeId="0" xr:uid="{00000000-0006-0000-0300-000003000000}">
      <text>
        <r>
          <rPr>
            <sz val="12"/>
            <color theme="1"/>
            <rFont val="新細明體"/>
            <family val="2"/>
            <charset val="136"/>
          </rPr>
          <t xml:space="preserve">
一般機種/USB/PCE等，預設填【1】
Mesh機種，依出貨包裝數量填寫  </t>
        </r>
      </text>
    </comment>
    <comment ref="M1" authorId="0" shapeId="0" xr:uid="{00000000-0006-0000-0300-000004000000}">
      <text>
        <r>
          <rPr>
            <sz val="12"/>
            <color theme="1"/>
            <rFont val="新細明體"/>
            <family val="2"/>
            <charset val="136"/>
          </rPr>
          <t>固定使用【90IG*】</t>
        </r>
      </text>
    </comment>
    <comment ref="N1" authorId="0" shapeId="0" xr:uid="{00000000-0006-0000-0300-000005000000}">
      <text>
        <r>
          <rPr>
            <sz val="12"/>
            <color theme="1"/>
            <rFont val="新細明體"/>
            <family val="2"/>
            <charset val="136"/>
          </rPr>
          <t>固定使用【0】</t>
        </r>
      </text>
    </comment>
    <comment ref="O1" authorId="0" shapeId="0" xr:uid="{00000000-0006-0000-0300-000006000000}">
      <text>
        <r>
          <rPr>
            <sz val="12"/>
            <color theme="1"/>
            <rFont val="新細明體"/>
            <family val="2"/>
            <charset val="136"/>
          </rPr>
          <t>固定使用【N】</t>
        </r>
      </text>
    </comment>
    <comment ref="AR1" authorId="0" shapeId="0" xr:uid="{00000000-0006-0000-0300-000007000000}">
      <text>
        <r>
          <rPr>
            <sz val="12"/>
            <color theme="1"/>
            <rFont val="新細明體"/>
            <family val="2"/>
            <charset val="136"/>
          </rPr>
          <t>GIFT BOX：一般正常出貨
DUMMY
BULK PACK</t>
        </r>
      </text>
    </comment>
    <comment ref="AV1" authorId="0" shapeId="0" xr:uid="{00000000-0006-0000-0300-000008000000}">
      <text>
        <r>
          <rPr>
            <sz val="12"/>
            <color theme="1"/>
            <rFont val="新細明體"/>
            <family val="2"/>
            <charset val="136"/>
          </rPr>
          <t>語言列表
可參考Sheet 【Language &amp; EMS】
ASIA
AUSTRALIA
BRAZIL
CANADA
CHINA
ENGLAND
EUROPE
FRANCE
GERMANY
INDIA
JAPAN
KOREA
MULTI
NORTH AMERICA
RUSSIAN
SOUTH AMERICA
TAIWAN
USA
X (for DUMMY)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D1" authorId="0" shapeId="0" xr:uid="{00000000-0006-0000-0400-000001000000}">
      <text>
        <r>
          <rPr>
            <sz val="12"/>
            <color theme="1"/>
            <rFont val="新細明體"/>
            <family val="2"/>
            <charset val="136"/>
          </rPr>
          <t xml:space="preserve">EMS org
可參考Sheet 【Language &amp; EMS】
Turnkey (常用)
    AGP    智易 Arcadyan_大陸
    AJR      智易 Arcadyan_台灣
    AR1     智易 Arcadyan_越南
    AFL      訊舟 Acelink_大陸
    AQR     訊舟 Acelink_台灣
    AWM   同維/共進_大陸
    AUG     同維/共進_越南
    AOR     亞旭 Askey_大陸
    AQH     亞旭 Askey_台灣
    ATC      正文_崑山
    AZK      正文_安博
    AS9      正文_越南
    AS3      世紀本原
    AK4      華芸
    AKM     啟碁
    AKN      金磚
    AFW     晶訊
    AVT      品威
    AWJ      東碩
    A3C     偉迪
Consign 
    AKS    訊舟 Acelink_大陸
    ASI     訊舟 Acelink_台灣
 </t>
        </r>
      </text>
    </comment>
  </commentList>
</comments>
</file>

<file path=xl/sharedStrings.xml><?xml version="1.0" encoding="utf-8"?>
<sst xmlns="http://schemas.openxmlformats.org/spreadsheetml/2006/main" count="580" uniqueCount="351">
  <si>
    <t>Remark</t>
  </si>
  <si>
    <t>PW</t>
  </si>
  <si>
    <t>預設加密</t>
  </si>
  <si>
    <t>項目</t>
  </si>
  <si>
    <t>* 90 Description</t>
  </si>
  <si>
    <t>90 Description</t>
  </si>
  <si>
    <t>90 BOM 編 碼</t>
  </si>
  <si>
    <t>Model Name</t>
  </si>
  <si>
    <t>SKU</t>
  </si>
  <si>
    <t>2.4G Channel</t>
  </si>
  <si>
    <t>Power Adapter</t>
  </si>
  <si>
    <t>階層別</t>
  </si>
  <si>
    <t>Product Code</t>
  </si>
  <si>
    <t>Project Code</t>
  </si>
  <si>
    <t>Channel</t>
  </si>
  <si>
    <t>－</t>
  </si>
  <si>
    <t>屬性</t>
  </si>
  <si>
    <t>Region</t>
  </si>
  <si>
    <t>Adapter</t>
  </si>
  <si>
    <t>外包商
代碼</t>
  </si>
  <si>
    <t>流水號</t>
  </si>
  <si>
    <t>保留碼</t>
  </si>
  <si>
    <t>GT-BN98</t>
  </si>
  <si>
    <t>EU</t>
  </si>
  <si>
    <t>P_EU</t>
  </si>
  <si>
    <t>I</t>
  </si>
  <si>
    <t>G</t>
  </si>
  <si>
    <t>A</t>
  </si>
  <si>
    <t>T</t>
  </si>
  <si>
    <t>-</t>
  </si>
  <si>
    <t>M</t>
  </si>
  <si>
    <t>O</t>
  </si>
  <si>
    <t>V</t>
  </si>
  <si>
    <t>APAC</t>
  </si>
  <si>
    <t>P_EU_UK_AU</t>
  </si>
  <si>
    <t>F</t>
  </si>
  <si>
    <t>JP</t>
  </si>
  <si>
    <t>P_JP</t>
  </si>
  <si>
    <t>J</t>
  </si>
  <si>
    <t>KR</t>
  </si>
  <si>
    <t>P_KR</t>
  </si>
  <si>
    <t>K</t>
  </si>
  <si>
    <t>MP機種</t>
  </si>
  <si>
    <t>依實際Adapter狀況維護</t>
  </si>
  <si>
    <t>NPI 機種</t>
  </si>
  <si>
    <t>新建的89料號底下，都先掛底下單一料號</t>
  </si>
  <si>
    <t>主料 / 替代料/ Running Change</t>
  </si>
  <si>
    <t>元件料號</t>
  </si>
  <si>
    <t>數量</t>
  </si>
  <si>
    <t>元件品規</t>
  </si>
  <si>
    <t>主料</t>
  </si>
  <si>
    <t>15060-26K00000</t>
  </si>
  <si>
    <t>IG COMMON QSG//V1.0</t>
  </si>
  <si>
    <t>89 BOM 編 碼</t>
  </si>
  <si>
    <t>C</t>
  </si>
  <si>
    <t>範例</t>
  </si>
  <si>
    <t>90 PN</t>
  </si>
  <si>
    <t>89 PN</t>
  </si>
  <si>
    <t>89 品規</t>
  </si>
  <si>
    <t>主料/替代料</t>
  </si>
  <si>
    <t>90IG09S0-MA1A0V</t>
  </si>
  <si>
    <t>89IG09S0-ACA000</t>
  </si>
  <si>
    <t>GT-BE19000AI/US</t>
  </si>
  <si>
    <t>0A001-00401400</t>
  </si>
  <si>
    <t>ADAPTER 60W 12V(BLK) US//LEADER/MU60B31120-A01S</t>
  </si>
  <si>
    <t>90IG09SB-MA1A0V</t>
  </si>
  <si>
    <t>90IG09S0-MX1A0V</t>
  </si>
  <si>
    <t>89IG09S0-ACX000</t>
  </si>
  <si>
    <t>GT-BE19000AI/CA</t>
  </si>
  <si>
    <t>90IG09S0-MT1A0V</t>
  </si>
  <si>
    <t>89IG09S0-ACT000</t>
  </si>
  <si>
    <t>GT-BE19000AI/TW</t>
  </si>
  <si>
    <t>90IG09S0-MFAA0V</t>
  </si>
  <si>
    <t>89IG09S0-ACF000</t>
  </si>
  <si>
    <t>GT-BE19000AI/APAC_AU</t>
  </si>
  <si>
    <t>0A001-00401100</t>
  </si>
  <si>
    <t>ADAPTER 60W 12V(VAR) BLK//LEADER/IU60B31120-003H</t>
  </si>
  <si>
    <t>0A200-00121300</t>
  </si>
  <si>
    <t>AC PLUG EU TYPE BLK//LEADER/IS8C50BLK1-11H</t>
  </si>
  <si>
    <t>0A200-00121100</t>
  </si>
  <si>
    <t>AC PLUG UK TYPE BLK//LEADER/IS8B20BLK1-11H</t>
  </si>
  <si>
    <t>0A200-00120900</t>
  </si>
  <si>
    <t>AC PLUG AU TYPE BLK//LEADER/IS8A30BLK1-11H</t>
  </si>
  <si>
    <t>90IG09S0-MO9A0V</t>
  </si>
  <si>
    <t>89IG09S0-ACO000</t>
  </si>
  <si>
    <t>GT-BE19000AI/EU_UK</t>
  </si>
  <si>
    <t>黃色格子，需自行填入</t>
  </si>
  <si>
    <t>可參考每格右上角的註解說明</t>
  </si>
  <si>
    <t>80 BOM 編 碼</t>
  </si>
  <si>
    <t>ID+Color</t>
  </si>
  <si>
    <t>PCBA</t>
  </si>
  <si>
    <t>機種分類</t>
  </si>
  <si>
    <t>出貨機台數量</t>
  </si>
  <si>
    <t>料號</t>
  </si>
  <si>
    <t>品規</t>
  </si>
  <si>
    <t>備註</t>
  </si>
  <si>
    <t>70IG0AT0-SA1000</t>
  </si>
  <si>
    <t>GT-BN98 SYSTEM ASSY//</t>
  </si>
  <si>
    <t>60IG0AN1-MB0B01</t>
  </si>
  <si>
    <t>OEM機種</t>
  </si>
  <si>
    <t>80IGxxxx-Mxxxxx</t>
  </si>
  <si>
    <t>GT-AXE11000//</t>
  </si>
  <si>
    <t>(填入上方定義好的80料號)</t>
  </si>
  <si>
    <t>70IG06E0-SA1000</t>
  </si>
  <si>
    <t>GT-AXE11000 SYSTEM ASSY</t>
  </si>
  <si>
    <t>(請RD提供)</t>
  </si>
  <si>
    <t>60IG06E0-MB0A01</t>
  </si>
  <si>
    <t>GT-AXE11000 MAIN BD.//R2.31(TEST)</t>
  </si>
  <si>
    <t>(請機構提供)</t>
  </si>
  <si>
    <t>ODM機種</t>
  </si>
  <si>
    <t>CMAX6000</t>
  </si>
  <si>
    <t>70IG05X0-SA0010</t>
  </si>
  <si>
    <t>CMAX6000 SYSTEM ASSY</t>
  </si>
  <si>
    <t>ODM產品，自行申請一個空的70IG*</t>
  </si>
  <si>
    <t>60IG05X0-MB0A01</t>
  </si>
  <si>
    <t>CMAX6000 MAIN BOARD//R1.10</t>
  </si>
  <si>
    <t>ODM產品，自行申請一個空的60IG*</t>
  </si>
  <si>
    <t>MESH機種</t>
  </si>
  <si>
    <t>80IG074W-M00100</t>
  </si>
  <si>
    <t>XT9//WHITE/#1</t>
  </si>
  <si>
    <t>#(數字) 表示出貨包裝數量</t>
  </si>
  <si>
    <t>70IG0740-SA1000</t>
  </si>
  <si>
    <t>XT9 SYSTEM ASSY</t>
  </si>
  <si>
    <t>60IG0740-MB0A01</t>
  </si>
  <si>
    <t>XT9 MAIN BD. GPY211//R2.00 (TEST)</t>
  </si>
  <si>
    <t>60IG0740-IO0A01</t>
  </si>
  <si>
    <t>XT9 IO BD.//R2.00 (TEST)</t>
  </si>
  <si>
    <t>80IG075W-ME0200</t>
  </si>
  <si>
    <t>XD5//WHITE/EPA/#2</t>
  </si>
  <si>
    <t>若有分 EPA/IPA 或是 PCBA_US/PCBA_EU，須註明</t>
  </si>
  <si>
    <t>70IG0750-SA0010</t>
  </si>
  <si>
    <t>XD5 SYSTEM ASSY//</t>
  </si>
  <si>
    <t>60IG0750-MB0A01</t>
  </si>
  <si>
    <t>XD5 MAIN BD.//R1.00 (TEST)</t>
  </si>
  <si>
    <t>60IG05N0-IO0B01</t>
  </si>
  <si>
    <t>XD4 IO BD.//R1.21 (TEST)</t>
  </si>
  <si>
    <t>*PART NO</t>
  </si>
  <si>
    <t>*DESCRIPTION</t>
  </si>
  <si>
    <t>*89 料號</t>
  </si>
  <si>
    <t>*80 料號</t>
  </si>
  <si>
    <t>* 80 料號
Q'ty</t>
  </si>
  <si>
    <t>*CATALOG
 GROUP NAME</t>
  </si>
  <si>
    <t>*DEMANTRA ITEM TYPE</t>
  </si>
  <si>
    <t>*Local_buy</t>
  </si>
  <si>
    <t>VBU</t>
  </si>
  <si>
    <t>PROJECT NAME</t>
  </si>
  <si>
    <t>ID+COLOR</t>
  </si>
  <si>
    <t>MODEL NAME</t>
  </si>
  <si>
    <t>PRODUCT SERIES</t>
  </si>
  <si>
    <t>PRODUCT TYPE</t>
  </si>
  <si>
    <t>VERSION</t>
  </si>
  <si>
    <t>CHIPSET</t>
  </si>
  <si>
    <t>RAM SIZE</t>
  </si>
  <si>
    <t xml:space="preserve">FLASH MEMORY SIZE </t>
  </si>
  <si>
    <t>HOUSING/ID</t>
  </si>
  <si>
    <t>ANTENNA TYPE</t>
  </si>
  <si>
    <t>OPERATING 
CHANNEL</t>
  </si>
  <si>
    <t>OPERATING 
FREQUENCY</t>
  </si>
  <si>
    <t>WAN PORT</t>
  </si>
  <si>
    <t>LAN PORT</t>
  </si>
  <si>
    <t>ADSL PORT</t>
  </si>
  <si>
    <t>BUTTON/SWITCH</t>
  </si>
  <si>
    <t>USB</t>
  </si>
  <si>
    <t>SFP</t>
  </si>
  <si>
    <t>CONSOLE</t>
  </si>
  <si>
    <t>BATTERY</t>
  </si>
  <si>
    <t>WIRELESS</t>
  </si>
  <si>
    <t>BLUETOOTH</t>
  </si>
  <si>
    <t>3G</t>
  </si>
  <si>
    <t>ACCESSORIES</t>
  </si>
  <si>
    <t>MANUAL</t>
  </si>
  <si>
    <t>CABLE</t>
  </si>
  <si>
    <t>*PACKING　</t>
  </si>
  <si>
    <t>QTY IN CARTON</t>
  </si>
  <si>
    <t xml:space="preserve">VENDER/SUPPLIER </t>
  </si>
  <si>
    <t>REGION</t>
  </si>
  <si>
    <t>*LANGUAGE</t>
  </si>
  <si>
    <t>POWER ADAPTER</t>
  </si>
  <si>
    <t>POWER 
CORD</t>
  </si>
  <si>
    <t>FW版本</t>
  </si>
  <si>
    <t>89IG097S-ACA000</t>
  </si>
  <si>
    <t>80IG0AN0-M00100</t>
  </si>
  <si>
    <t>90IG*</t>
  </si>
  <si>
    <t>N</t>
  </si>
  <si>
    <t>ROUTER</t>
  </si>
  <si>
    <t>GT-BN98 PRO</t>
  </si>
  <si>
    <t>GIFT BOX</t>
  </si>
  <si>
    <t>USA</t>
  </si>
  <si>
    <t>*EMS org ( 三碼)</t>
  </si>
  <si>
    <t>AR1</t>
  </si>
  <si>
    <t>Sku</t>
  </si>
  <si>
    <t>2.4G 
Channel</t>
  </si>
  <si>
    <t>第11碼  Region (Channel)</t>
  </si>
  <si>
    <t>第12碼  Adapter</t>
  </si>
  <si>
    <t>Code 11</t>
  </si>
  <si>
    <t>Code 12</t>
  </si>
  <si>
    <t>Dummy</t>
  </si>
  <si>
    <t>Dummy / WW</t>
  </si>
  <si>
    <t>US</t>
  </si>
  <si>
    <t xml:space="preserve">US            </t>
  </si>
  <si>
    <t>US (TWN)</t>
  </si>
  <si>
    <t>P_US</t>
  </si>
  <si>
    <t>MX</t>
  </si>
  <si>
    <t>B</t>
  </si>
  <si>
    <t>Mexico</t>
  </si>
  <si>
    <t>CN</t>
  </si>
  <si>
    <t xml:space="preserve">China     </t>
  </si>
  <si>
    <t>China</t>
  </si>
  <si>
    <t>P_CN</t>
  </si>
  <si>
    <t>E</t>
  </si>
  <si>
    <t>Iran/Egypt/Tailand/India/Indonesia/
Bangladesh/Pakistan</t>
  </si>
  <si>
    <t>EU (EU, APAC EU)</t>
  </si>
  <si>
    <t>2024.09起不使用</t>
  </si>
  <si>
    <t>APAC/AU</t>
  </si>
  <si>
    <t>APAC Universal</t>
  </si>
  <si>
    <t>APAC Universal (EU+UK+AU)</t>
  </si>
  <si>
    <t>HK</t>
  </si>
  <si>
    <t>H</t>
  </si>
  <si>
    <t>HongKong</t>
  </si>
  <si>
    <t>UK (UK, APAC UK)</t>
  </si>
  <si>
    <t>P_UK</t>
  </si>
  <si>
    <t>IN</t>
  </si>
  <si>
    <t>India</t>
  </si>
  <si>
    <t>P_IN</t>
  </si>
  <si>
    <t xml:space="preserve">Japan </t>
  </si>
  <si>
    <t>Japan</t>
  </si>
  <si>
    <t xml:space="preserve">Korea   </t>
  </si>
  <si>
    <t>Korea</t>
  </si>
  <si>
    <t>IL</t>
  </si>
  <si>
    <t>L</t>
  </si>
  <si>
    <t>Israel</t>
  </si>
  <si>
    <t>WEU</t>
  </si>
  <si>
    <t xml:space="preserve">Western Europe/Eastern Europe/
South Africa   </t>
  </si>
  <si>
    <t>EEU</t>
  </si>
  <si>
    <t xml:space="preserve">Eastern Europe </t>
  </si>
  <si>
    <t>Europe</t>
  </si>
  <si>
    <t>EU Universal (EU+UK)</t>
  </si>
  <si>
    <t>P_EU_UK</t>
  </si>
  <si>
    <t>AR</t>
  </si>
  <si>
    <t>P</t>
  </si>
  <si>
    <t>Argentina</t>
  </si>
  <si>
    <t>P_AR</t>
  </si>
  <si>
    <t>RU</t>
  </si>
  <si>
    <t>R</t>
  </si>
  <si>
    <t>Russia</t>
  </si>
  <si>
    <t>SG</t>
  </si>
  <si>
    <t>S</t>
  </si>
  <si>
    <t>Singapore, Malaysia</t>
  </si>
  <si>
    <t>2024.09由13改為11</t>
  </si>
  <si>
    <t>TW</t>
  </si>
  <si>
    <t xml:space="preserve">Taiwan     </t>
  </si>
  <si>
    <t>UK</t>
  </si>
  <si>
    <t>U</t>
  </si>
  <si>
    <t xml:space="preserve">UK </t>
  </si>
  <si>
    <t>WW</t>
  </si>
  <si>
    <t>W</t>
  </si>
  <si>
    <t xml:space="preserve">Worldwide    </t>
  </si>
  <si>
    <t>CA</t>
  </si>
  <si>
    <t>X</t>
  </si>
  <si>
    <t>Canada</t>
  </si>
  <si>
    <t>BZ</t>
  </si>
  <si>
    <t>Y</t>
  </si>
  <si>
    <t>Brazil</t>
  </si>
  <si>
    <t>P_BZ</t>
  </si>
  <si>
    <t>AU</t>
  </si>
  <si>
    <t>Z</t>
  </si>
  <si>
    <t>Australia/New Zealand</t>
  </si>
  <si>
    <t>Australia</t>
  </si>
  <si>
    <t>P_AU</t>
  </si>
  <si>
    <t>Language
 (Shipment Area)</t>
  </si>
  <si>
    <t>CANADA</t>
  </si>
  <si>
    <t>BRAZIL</t>
  </si>
  <si>
    <t>EUROPE</t>
  </si>
  <si>
    <t>AUSTRALIA</t>
  </si>
  <si>
    <t>INDIA</t>
  </si>
  <si>
    <t>ASIA</t>
  </si>
  <si>
    <t>CHINA</t>
  </si>
  <si>
    <t>TAIWAN</t>
  </si>
  <si>
    <t>JAPAN</t>
  </si>
  <si>
    <t>KOREA</t>
  </si>
  <si>
    <t>DUMMY</t>
  </si>
  <si>
    <t>EMS org</t>
  </si>
  <si>
    <t>Turnkey</t>
  </si>
  <si>
    <t>AGP</t>
  </si>
  <si>
    <t>智易 Arcadyan_大陸</t>
  </si>
  <si>
    <t>AJR</t>
  </si>
  <si>
    <t>智易 Arcadyan_台灣</t>
  </si>
  <si>
    <t>智易 Arcadyan_越南</t>
  </si>
  <si>
    <t>AFL</t>
  </si>
  <si>
    <t>訊舟 Acelink_大陸</t>
  </si>
  <si>
    <t>AQR</t>
  </si>
  <si>
    <t>訊舟 Acelink_台灣</t>
  </si>
  <si>
    <t>AWM</t>
  </si>
  <si>
    <t>同維/共進_深圳</t>
  </si>
  <si>
    <t>AUG</t>
  </si>
  <si>
    <t>同維/共進_香港</t>
  </si>
  <si>
    <t>AOR</t>
  </si>
  <si>
    <t>亞旭 Askey_大陸</t>
  </si>
  <si>
    <t>AQH</t>
  </si>
  <si>
    <t>亞旭 Askey_台灣</t>
  </si>
  <si>
    <t>ATC</t>
  </si>
  <si>
    <t>正文_崑山</t>
  </si>
  <si>
    <t>AZK</t>
  </si>
  <si>
    <t>正文_安博</t>
  </si>
  <si>
    <t>AS9</t>
  </si>
  <si>
    <t>正文_越南</t>
  </si>
  <si>
    <t>AS3</t>
  </si>
  <si>
    <t>世紀本原</t>
  </si>
  <si>
    <t>AK4</t>
  </si>
  <si>
    <t>華芸</t>
  </si>
  <si>
    <t>AKM</t>
  </si>
  <si>
    <t>啟碁</t>
  </si>
  <si>
    <t>AKN</t>
  </si>
  <si>
    <t>金磚</t>
  </si>
  <si>
    <t>AFW</t>
  </si>
  <si>
    <t>晶訊</t>
  </si>
  <si>
    <t>AVT</t>
  </si>
  <si>
    <t>品威</t>
  </si>
  <si>
    <t>AWJ</t>
  </si>
  <si>
    <t>東碩_台灣</t>
  </si>
  <si>
    <t>AXY</t>
  </si>
  <si>
    <t>康全_大陸</t>
  </si>
  <si>
    <t>A3C</t>
  </si>
  <si>
    <t>偉迪</t>
  </si>
  <si>
    <t>Consign</t>
  </si>
  <si>
    <t>AKS</t>
  </si>
  <si>
    <t>ASI</t>
  </si>
  <si>
    <t>外包商代碼</t>
  </si>
  <si>
    <t>智易 Arcadyan</t>
  </si>
  <si>
    <t>訊舟 Acelink</t>
  </si>
  <si>
    <t>同維/共進</t>
  </si>
  <si>
    <t>D</t>
  </si>
  <si>
    <t>亞旭 Askey</t>
  </si>
  <si>
    <t>(不使用，因為與數字1相似)</t>
  </si>
  <si>
    <t>東碩</t>
  </si>
  <si>
    <t>康全</t>
  </si>
  <si>
    <t>正文</t>
  </si>
  <si>
    <t>(不使用，因為與數字0相似)</t>
  </si>
  <si>
    <t>微網優聯</t>
  </si>
  <si>
    <t>Q</t>
  </si>
  <si>
    <t>微網力合</t>
  </si>
  <si>
    <t>Default</t>
  </si>
  <si>
    <t>Amazon</t>
  </si>
  <si>
    <t>BBY</t>
  </si>
  <si>
    <t>Walmart</t>
  </si>
  <si>
    <t>中國生產 MIC</t>
  </si>
  <si>
    <t>福利品 Refurbish</t>
  </si>
  <si>
    <t>CSC (For 客服入賬使用)</t>
  </si>
  <si>
    <t>For 參展樣品 (限NPI機種使用)</t>
  </si>
  <si>
    <t>台灣生產 MIT</t>
  </si>
  <si>
    <t>越南生產 MIV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</si>
</sst>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64">
    <font>
      <sz val="12"/>
      <color theme="1"/>
      <name val="新細明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"/>
    </font>
    <font>
      <b/>
      <sz val="13"/>
      <color theme="1"/>
      <name val="Noto Sans CJK SC"/>
      <family val="2"/>
      <charset val="1"/>
    </font>
    <font>
      <b/>
      <sz val="12"/>
      <color theme="1"/>
      <name val="Calibri"/>
      <family val="2"/>
      <charset val="1"/>
    </font>
    <font>
      <sz val="13"/>
      <name val="Noto Sans CJK SC"/>
      <family val="2"/>
      <charset val="1"/>
    </font>
    <font>
      <sz val="13"/>
      <color theme="1"/>
      <name val="Calibri"/>
      <family val="2"/>
      <charset val="1"/>
    </font>
    <font>
      <sz val="13"/>
      <name val="Calibri"/>
      <family val="2"/>
      <charset val="1"/>
    </font>
    <font>
      <sz val="12"/>
      <name val="Calibri"/>
      <family val="2"/>
      <charset val="1"/>
    </font>
    <font>
      <sz val="12"/>
      <color theme="0" tint="-0.499984740745262"/>
      <name val="Calibri"/>
      <family val="2"/>
      <charset val="1"/>
    </font>
    <font>
      <b/>
      <sz val="14"/>
      <color theme="1"/>
      <name val="微軟正黑體"/>
      <family val="2"/>
      <charset val="136"/>
    </font>
    <font>
      <sz val="14"/>
      <color theme="1"/>
      <name val="Noto Sans CJK SC"/>
      <family val="2"/>
      <charset val="1"/>
    </font>
    <font>
      <sz val="14"/>
      <color theme="1"/>
      <name val="Calibri"/>
      <family val="2"/>
      <charset val="1"/>
    </font>
    <font>
      <b/>
      <sz val="12"/>
      <color rgb="FF000000"/>
      <name val="Noto Sans CJK SC"/>
      <family val="2"/>
      <charset val="1"/>
    </font>
    <font>
      <sz val="12"/>
      <color rgb="FFFF0000"/>
      <name val="Noto Sans CJK SC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Noto Sans CJK SC"/>
      <family val="2"/>
      <charset val="1"/>
    </font>
    <font>
      <sz val="12"/>
      <name val="Noto Sans CJK SC"/>
      <family val="2"/>
      <charset val="1"/>
    </font>
    <font>
      <b/>
      <sz val="14"/>
      <color theme="1"/>
      <name val="Noto Sans CJK SC"/>
      <family val="2"/>
      <charset val="1"/>
    </font>
    <font>
      <b/>
      <sz val="13"/>
      <color rgb="FF000000"/>
      <name val="Calibri"/>
      <family val="2"/>
      <charset val="1"/>
    </font>
    <font>
      <b/>
      <sz val="13"/>
      <color rgb="FF000000"/>
      <name val="Noto Sans CJK SC"/>
      <family val="2"/>
      <charset val="1"/>
    </font>
    <font>
      <b/>
      <sz val="20"/>
      <color rgb="FFFF0000"/>
      <name val="Noto Sans CJK SC"/>
      <family val="2"/>
      <charset val="1"/>
    </font>
    <font>
      <sz val="16"/>
      <color theme="1"/>
      <name val="Noto Sans CJK SC"/>
      <family val="2"/>
      <charset val="1"/>
    </font>
    <font>
      <b/>
      <sz val="14"/>
      <color theme="1"/>
      <name val="Calibri"/>
      <family val="2"/>
      <charset val="1"/>
    </font>
    <font>
      <sz val="13"/>
      <color theme="1"/>
      <name val="Noto Sans CJK SC"/>
      <family val="2"/>
      <charset val="1"/>
    </font>
    <font>
      <sz val="11"/>
      <name val="Noto Sans CJK SC"/>
      <family val="2"/>
      <charset val="1"/>
    </font>
    <font>
      <b/>
      <sz val="16"/>
      <name val="Noto Sans CJK SC"/>
      <family val="2"/>
      <charset val="1"/>
    </font>
    <font>
      <b/>
      <sz val="12"/>
      <name val="新細明體"/>
      <family val="2"/>
      <charset val="136"/>
    </font>
    <font>
      <b/>
      <sz val="12"/>
      <color theme="1"/>
      <name val="Aptos"/>
      <family val="2"/>
      <charset val="1"/>
    </font>
    <font>
      <sz val="12"/>
      <color theme="1"/>
      <name val="Aptos"/>
      <family val="2"/>
      <charset val="1"/>
    </font>
    <font>
      <b/>
      <sz val="12"/>
      <color theme="0" tint="-0.499984740745262"/>
      <name val="Calibri"/>
      <family val="2"/>
      <charset val="1"/>
    </font>
    <font>
      <b/>
      <sz val="16"/>
      <color theme="1"/>
      <name val="Noto Sans CJK SC"/>
      <family val="2"/>
      <charset val="1"/>
    </font>
    <font>
      <b/>
      <sz val="12"/>
      <color theme="5"/>
      <name val="微軟正黑體"/>
      <family val="2"/>
      <charset val="136"/>
    </font>
    <font>
      <b/>
      <sz val="12"/>
      <color theme="0" tint="-0.499984740745262"/>
      <name val="Noto Sans CJK SC"/>
      <family val="2"/>
      <charset val="1"/>
    </font>
    <font>
      <b/>
      <sz val="12"/>
      <color theme="0" tint="-0.499984740745262"/>
      <name val="微軟正黑體"/>
      <family val="2"/>
      <charset val="136"/>
    </font>
    <font>
      <b/>
      <sz val="12"/>
      <color theme="0" tint="-0.499984740745262"/>
      <name val="新細明體"/>
      <family val="2"/>
      <charset val="136"/>
    </font>
    <font>
      <b/>
      <sz val="12"/>
      <color rgb="FF7030A0"/>
      <name val="微軟正黑體"/>
      <family val="2"/>
      <charset val="136"/>
    </font>
    <font>
      <b/>
      <sz val="12"/>
      <color rgb="FFC00000"/>
      <name val="Calibri"/>
      <family val="2"/>
      <charset val="1"/>
    </font>
    <font>
      <b/>
      <sz val="12"/>
      <color rgb="FF0070C0"/>
      <name val="微軟正黑體"/>
      <family val="2"/>
      <charset val="136"/>
    </font>
    <font>
      <b/>
      <sz val="11"/>
      <color theme="1"/>
      <name val="Noto Sans CJK SC"/>
      <family val="2"/>
      <charset val="1"/>
    </font>
    <font>
      <sz val="11"/>
      <color rgb="FF000000"/>
      <name val="Calibri"/>
      <family val="2"/>
      <charset val="1"/>
    </font>
    <font>
      <sz val="11"/>
      <name val="微軟正黑體"/>
      <family val="2"/>
      <charset val="136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3"/>
      <color theme="1"/>
      <name val="新細明體"/>
      <family val="2"/>
      <charset val="136"/>
    </font>
    <font>
      <b/>
      <sz val="13"/>
      <color theme="1"/>
      <name val="Calibri"/>
      <family val="2"/>
      <charset val="1"/>
    </font>
    <font>
      <b/>
      <sz val="13"/>
      <name val="Calibri"/>
      <family val="2"/>
      <charset val="1"/>
    </font>
    <font>
      <b/>
      <sz val="13"/>
      <name val="Noto Sans CJK SC"/>
      <family val="2"/>
      <charset val="1"/>
    </font>
    <font>
      <b/>
      <sz val="13"/>
      <color theme="4" tint="-0.249977111117893"/>
      <name val="Calibri"/>
      <family val="2"/>
      <charset val="1"/>
    </font>
    <font>
      <strike/>
      <sz val="13"/>
      <color theme="1"/>
      <name val="Calibri"/>
      <family val="2"/>
      <charset val="1"/>
    </font>
    <font>
      <strike/>
      <sz val="13"/>
      <name val="Calibri"/>
      <family val="2"/>
      <charset val="1"/>
    </font>
    <font>
      <b/>
      <strike/>
      <sz val="13"/>
      <color theme="4" tint="-0.249977111117893"/>
      <name val="Calibri"/>
      <family val="2"/>
      <charset val="1"/>
    </font>
    <font>
      <sz val="13"/>
      <color rgb="FFFF0000"/>
      <name val="Calibri"/>
      <family val="2"/>
      <charset val="1"/>
    </font>
    <font>
      <strike/>
      <sz val="13"/>
      <color theme="1"/>
      <name val="新細明體"/>
      <family val="2"/>
      <charset val="136"/>
    </font>
    <font>
      <sz val="13"/>
      <color rgb="FFFF0000"/>
      <name val="新細明體"/>
      <family val="2"/>
      <charset val="136"/>
    </font>
    <font>
      <b/>
      <sz val="12"/>
      <name val="Calibri"/>
      <family val="2"/>
      <charset val="1"/>
    </font>
    <font>
      <b/>
      <sz val="12"/>
      <color theme="1"/>
      <name val="新細明體"/>
      <family val="2"/>
      <charset val="136"/>
    </font>
    <font>
      <b/>
      <sz val="12"/>
      <color theme="1"/>
      <name val="Noto Sans CJK SC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</fonts>
  <fills count="2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4EECC"/>
        <bgColor rgb="FFB7EBC1"/>
      </patternFill>
    </fill>
    <fill>
      <patternFill patternType="solid">
        <fgColor rgb="FFFDE2CB"/>
        <bgColor rgb="FFFDEADA"/>
      </patternFill>
    </fill>
    <fill>
      <patternFill patternType="solid">
        <fgColor rgb="FFFFFFCC"/>
        <bgColor rgb="FFFDFBA1"/>
      </patternFill>
    </fill>
    <fill>
      <patternFill patternType="solid">
        <fgColor rgb="FFFEE8F8"/>
        <bgColor rgb="FFFDEADA"/>
      </patternFill>
    </fill>
    <fill>
      <patternFill patternType="solid">
        <fgColor rgb="FFE5F0FF"/>
        <bgColor rgb="FFDBEEF4"/>
      </patternFill>
    </fill>
    <fill>
      <patternFill patternType="solid">
        <fgColor theme="8" tint="0.79989013336588644"/>
        <bgColor rgb="FFE5F0FF"/>
      </patternFill>
    </fill>
    <fill>
      <patternFill patternType="solid">
        <fgColor theme="9" tint="0.39988402966399123"/>
        <bgColor rgb="FFFDE2CB"/>
      </patternFill>
    </fill>
    <fill>
      <patternFill patternType="solid">
        <fgColor rgb="FFFDFBA1"/>
        <bgColor rgb="FFFFFF99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B7EBC1"/>
        <bgColor rgb="FFC4EECC"/>
      </patternFill>
    </fill>
    <fill>
      <patternFill patternType="solid">
        <fgColor rgb="FFC1E9FF"/>
        <bgColor rgb="FFB7DEE8"/>
      </patternFill>
    </fill>
    <fill>
      <patternFill patternType="solid">
        <fgColor theme="7" tint="0.79989013336588644"/>
        <bgColor rgb="FFD9D9D9"/>
      </patternFill>
    </fill>
    <fill>
      <patternFill patternType="solid">
        <fgColor theme="9" tint="0.79989013336588644"/>
        <bgColor rgb="FFFDE2CB"/>
      </patternFill>
    </fill>
    <fill>
      <patternFill patternType="solid">
        <fgColor theme="0" tint="-0.14999847407452621"/>
        <bgColor rgb="FFE6E0EC"/>
      </patternFill>
    </fill>
    <fill>
      <patternFill patternType="solid">
        <fgColor rgb="FFFFFF99"/>
        <bgColor rgb="FFFDFF8D"/>
      </patternFill>
    </fill>
    <fill>
      <patternFill patternType="solid">
        <fgColor rgb="FFFDFF8D"/>
        <bgColor rgb="FFFFFF99"/>
      </patternFill>
    </fill>
    <fill>
      <patternFill patternType="solid">
        <fgColor rgb="FFFFC000"/>
        <bgColor rgb="FFFAC090"/>
      </patternFill>
    </fill>
    <fill>
      <patternFill patternType="solid">
        <fgColor rgb="FFF4F69C"/>
        <bgColor rgb="FFFDFBA1"/>
      </patternFill>
    </fill>
    <fill>
      <patternFill patternType="solid">
        <fgColor theme="0" tint="-0.499984740745262"/>
        <bgColor rgb="FF808000"/>
      </patternFill>
    </fill>
    <fill>
      <patternFill patternType="solid">
        <fgColor theme="8" tint="0.59987182226020086"/>
        <bgColor rgb="FFC1E9FF"/>
      </patternFill>
    </fill>
    <fill>
      <patternFill patternType="solid">
        <fgColor rgb="FFC4EECC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auto="1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theme="0" tint="-0.249977111117893"/>
      </bottom>
      <diagonal/>
    </border>
    <border>
      <left/>
      <right style="medium">
        <color auto="1"/>
      </right>
      <top style="thin">
        <color auto="1"/>
      </top>
      <bottom style="thin">
        <color theme="0" tint="-0.249977111117893"/>
      </bottom>
      <diagonal/>
    </border>
    <border>
      <left style="medium">
        <color auto="1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auto="1"/>
      </right>
      <top style="thin">
        <color theme="0" tint="-0.249977111117893"/>
      </top>
      <bottom/>
      <diagonal/>
    </border>
    <border>
      <left style="medium">
        <color auto="1"/>
      </left>
      <right style="thin">
        <color auto="1"/>
      </right>
      <top style="thin">
        <color theme="0" tint="-0.249977111117893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77111117893"/>
      </top>
      <bottom style="medium">
        <color auto="1"/>
      </bottom>
      <diagonal/>
    </border>
    <border>
      <left style="thin">
        <color auto="1"/>
      </left>
      <right/>
      <top style="thin">
        <color theme="0" tint="-0.249977111117893"/>
      </top>
      <bottom style="medium">
        <color auto="1"/>
      </bottom>
      <diagonal/>
    </border>
    <border>
      <left/>
      <right/>
      <top style="thin">
        <color theme="0" tint="-0.249977111117893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77111117893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62" fillId="0" borderId="0"/>
    <xf numFmtId="0" fontId="2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</cellStyleXfs>
  <cellXfs count="230">
    <xf numFmtId="0" fontId="0" fillId="0" borderId="0" xfId="0">
      <alignment vertical="center"/>
    </xf>
    <xf numFmtId="49" fontId="14" fillId="8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2" borderId="10" xfId="0" applyFont="1" applyFill="1" applyBorder="1">
      <alignment vertical="center"/>
    </xf>
    <xf numFmtId="0" fontId="9" fillId="2" borderId="5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11" fillId="2" borderId="0" xfId="0" applyFont="1" applyFill="1" applyAlignment="1"/>
    <xf numFmtId="0" fontId="3" fillId="2" borderId="0" xfId="0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0" fontId="1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5" fillId="9" borderId="5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9" fillId="2" borderId="0" xfId="0" applyFont="1" applyFill="1" applyAlignment="1"/>
    <xf numFmtId="0" fontId="0" fillId="2" borderId="0" xfId="0" applyFill="1">
      <alignment vertical="center"/>
    </xf>
    <xf numFmtId="49" fontId="21" fillId="12" borderId="1" xfId="0" applyNumberFormat="1" applyFont="1" applyFill="1" applyBorder="1" applyAlignment="1">
      <alignment horizontal="center" vertical="center"/>
    </xf>
    <xf numFmtId="49" fontId="21" fillId="12" borderId="1" xfId="0" applyNumberFormat="1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0" borderId="0" xfId="0" applyAlignment="1"/>
    <xf numFmtId="0" fontId="5" fillId="13" borderId="5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27" fillId="15" borderId="0" xfId="0" applyFont="1" applyFill="1" applyAlignment="1">
      <alignment vertical="center" wrapText="1"/>
    </xf>
    <xf numFmtId="0" fontId="28" fillId="15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34" fillId="2" borderId="15" xfId="0" applyFont="1" applyFill="1" applyBorder="1" applyAlignment="1">
      <alignment vertical="center" wrapText="1"/>
    </xf>
    <xf numFmtId="0" fontId="35" fillId="2" borderId="0" xfId="0" applyFont="1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36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49" fontId="40" fillId="3" borderId="18" xfId="0" applyNumberFormat="1" applyFont="1" applyFill="1" applyBorder="1" applyAlignment="1">
      <alignment horizontal="center" vertical="center"/>
    </xf>
    <xf numFmtId="49" fontId="41" fillId="3" borderId="1" xfId="0" applyNumberFormat="1" applyFont="1" applyFill="1" applyBorder="1" applyAlignment="1">
      <alignment horizontal="center" vertical="center"/>
    </xf>
    <xf numFmtId="49" fontId="43" fillId="17" borderId="1" xfId="0" applyNumberFormat="1" applyFont="1" applyFill="1" applyBorder="1" applyAlignment="1">
      <alignment horizontal="center" vertical="center" wrapText="1"/>
    </xf>
    <xf numFmtId="49" fontId="43" fillId="3" borderId="1" xfId="0" applyNumberFormat="1" applyFont="1" applyFill="1" applyBorder="1" applyAlignment="1">
      <alignment horizontal="center" vertical="center" wrapText="1"/>
    </xf>
    <xf numFmtId="49" fontId="44" fillId="3" borderId="1" xfId="0" applyNumberFormat="1" applyFont="1" applyFill="1" applyBorder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0" fontId="0" fillId="0" borderId="1" xfId="0" applyBorder="1">
      <alignment vertical="center"/>
    </xf>
    <xf numFmtId="0" fontId="17" fillId="3" borderId="1" xfId="0" applyFont="1" applyFill="1" applyBorder="1" applyAlignment="1">
      <alignment horizontal="center" vertical="center"/>
    </xf>
    <xf numFmtId="49" fontId="45" fillId="3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6" fillId="0" borderId="0" xfId="0" applyFont="1">
      <alignment vertical="center"/>
    </xf>
    <xf numFmtId="0" fontId="46" fillId="0" borderId="0" xfId="0" applyFont="1">
      <alignment vertical="center"/>
    </xf>
    <xf numFmtId="0" fontId="20" fillId="16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50" fillId="2" borderId="21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 wrapText="1"/>
    </xf>
    <xf numFmtId="0" fontId="50" fillId="2" borderId="22" xfId="0" applyFont="1" applyFill="1" applyBorder="1" applyAlignment="1">
      <alignment horizontal="center" vertical="center"/>
    </xf>
    <xf numFmtId="0" fontId="8" fillId="2" borderId="23" xfId="0" applyFont="1" applyFill="1" applyBorder="1">
      <alignment vertical="center"/>
    </xf>
    <xf numFmtId="0" fontId="8" fillId="2" borderId="24" xfId="0" applyFont="1" applyFill="1" applyBorder="1">
      <alignment vertical="center"/>
    </xf>
    <xf numFmtId="0" fontId="7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50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 wrapText="1"/>
    </xf>
    <xf numFmtId="0" fontId="50" fillId="2" borderId="27" xfId="0" applyFont="1" applyFill="1" applyBorder="1" applyAlignment="1">
      <alignment horizontal="center" vertical="center"/>
    </xf>
    <xf numFmtId="0" fontId="8" fillId="2" borderId="28" xfId="0" applyFont="1" applyFill="1" applyBorder="1">
      <alignment vertical="center"/>
    </xf>
    <xf numFmtId="0" fontId="8" fillId="2" borderId="29" xfId="0" applyFont="1" applyFill="1" applyBorder="1">
      <alignment vertical="center"/>
    </xf>
    <xf numFmtId="0" fontId="51" fillId="21" borderId="25" xfId="0" applyFont="1" applyFill="1" applyBorder="1" applyAlignment="1">
      <alignment horizontal="center" vertical="center"/>
    </xf>
    <xf numFmtId="0" fontId="52" fillId="21" borderId="26" xfId="0" applyFont="1" applyFill="1" applyBorder="1" applyAlignment="1">
      <alignment horizontal="center" vertical="center"/>
    </xf>
    <xf numFmtId="0" fontId="53" fillId="21" borderId="26" xfId="0" applyFont="1" applyFill="1" applyBorder="1" applyAlignment="1">
      <alignment horizontal="center" vertical="center"/>
    </xf>
    <xf numFmtId="0" fontId="51" fillId="21" borderId="26" xfId="0" applyFont="1" applyFill="1" applyBorder="1" applyAlignment="1">
      <alignment horizontal="left" vertical="center" wrapText="1"/>
    </xf>
    <xf numFmtId="0" fontId="53" fillId="21" borderId="30" xfId="0" applyFont="1" applyFill="1" applyBorder="1" applyAlignment="1">
      <alignment horizontal="center" vertical="center"/>
    </xf>
    <xf numFmtId="0" fontId="52" fillId="21" borderId="31" xfId="0" applyFont="1" applyFill="1" applyBorder="1">
      <alignment vertical="center"/>
    </xf>
    <xf numFmtId="0" fontId="52" fillId="21" borderId="32" xfId="0" applyFont="1" applyFill="1" applyBorder="1">
      <alignment vertical="center"/>
    </xf>
    <xf numFmtId="0" fontId="54" fillId="0" borderId="0" xfId="0" applyFont="1" applyAlignment="1">
      <alignment horizontal="left" vertical="center"/>
    </xf>
    <xf numFmtId="0" fontId="8" fillId="2" borderId="25" xfId="0" applyFont="1" applyFill="1" applyBorder="1" applyAlignment="1">
      <alignment horizontal="center" vertical="center"/>
    </xf>
    <xf numFmtId="0" fontId="50" fillId="2" borderId="30" xfId="0" applyFont="1" applyFill="1" applyBorder="1" applyAlignment="1">
      <alignment horizontal="center" vertical="center"/>
    </xf>
    <xf numFmtId="0" fontId="8" fillId="2" borderId="31" xfId="0" applyFont="1" applyFill="1" applyBorder="1">
      <alignment vertical="center"/>
    </xf>
    <xf numFmtId="0" fontId="8" fillId="2" borderId="32" xfId="0" applyFont="1" applyFill="1" applyBorder="1">
      <alignment vertical="center"/>
    </xf>
    <xf numFmtId="0" fontId="55" fillId="0" borderId="0" xfId="0" applyFont="1">
      <alignment vertical="center"/>
    </xf>
    <xf numFmtId="0" fontId="8" fillId="2" borderId="26" xfId="0" applyFont="1" applyFill="1" applyBorder="1" applyAlignment="1">
      <alignment horizontal="left" vertical="center" wrapText="1"/>
    </xf>
    <xf numFmtId="0" fontId="7" fillId="2" borderId="28" xfId="0" applyFont="1" applyFill="1" applyBorder="1">
      <alignment vertical="center"/>
    </xf>
    <xf numFmtId="0" fontId="7" fillId="2" borderId="29" xfId="0" applyFont="1" applyFill="1" applyBorder="1">
      <alignment vertical="center"/>
    </xf>
    <xf numFmtId="0" fontId="8" fillId="2" borderId="29" xfId="0" applyFont="1" applyFill="1" applyBorder="1" applyAlignment="1">
      <alignment horizontal="left" vertical="center"/>
    </xf>
    <xf numFmtId="176" fontId="51" fillId="21" borderId="33" xfId="0" applyNumberFormat="1" applyFont="1" applyFill="1" applyBorder="1" applyAlignment="1">
      <alignment horizontal="center" vertical="center"/>
    </xf>
    <xf numFmtId="49" fontId="52" fillId="21" borderId="34" xfId="0" applyNumberFormat="1" applyFont="1" applyFill="1" applyBorder="1" applyAlignment="1">
      <alignment horizontal="center" vertical="center"/>
    </xf>
    <xf numFmtId="176" fontId="53" fillId="21" borderId="34" xfId="0" applyNumberFormat="1" applyFont="1" applyFill="1" applyBorder="1" applyAlignment="1">
      <alignment horizontal="center" vertical="center"/>
    </xf>
    <xf numFmtId="176" fontId="51" fillId="21" borderId="34" xfId="0" applyNumberFormat="1" applyFont="1" applyFill="1" applyBorder="1" applyAlignment="1">
      <alignment horizontal="left" vertical="center" wrapText="1"/>
    </xf>
    <xf numFmtId="176" fontId="53" fillId="21" borderId="35" xfId="0" applyNumberFormat="1" applyFont="1" applyFill="1" applyBorder="1" applyAlignment="1">
      <alignment horizontal="center" vertical="center"/>
    </xf>
    <xf numFmtId="176" fontId="52" fillId="21" borderId="36" xfId="0" applyNumberFormat="1" applyFont="1" applyFill="1" applyBorder="1">
      <alignment vertical="center"/>
    </xf>
    <xf numFmtId="176" fontId="52" fillId="21" borderId="37" xfId="0" applyNumberFormat="1" applyFont="1" applyFill="1" applyBorder="1">
      <alignment vertical="center"/>
    </xf>
    <xf numFmtId="0" fontId="56" fillId="0" borderId="0" xfId="0" applyFont="1">
      <alignment vertical="center"/>
    </xf>
    <xf numFmtId="0" fontId="57" fillId="3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58" fillId="0" borderId="0" xfId="0" applyFont="1">
      <alignment vertical="center"/>
    </xf>
    <xf numFmtId="0" fontId="3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17" fillId="22" borderId="1" xfId="0" applyFont="1" applyFill="1" applyBorder="1" applyAlignment="1">
      <alignment horizontal="left" vertical="center"/>
    </xf>
    <xf numFmtId="0" fontId="58" fillId="2" borderId="0" xfId="0" applyFont="1" applyFill="1">
      <alignment vertical="center"/>
    </xf>
    <xf numFmtId="0" fontId="58" fillId="0" borderId="0" xfId="0" applyFont="1" applyAlignment="1">
      <alignment horizontal="center" vertical="center"/>
    </xf>
    <xf numFmtId="0" fontId="60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61" fillId="2" borderId="1" xfId="0" applyFont="1" applyFill="1" applyBorder="1" applyAlignment="1">
      <alignment horizontal="left" vertical="center"/>
    </xf>
    <xf numFmtId="0" fontId="58" fillId="2" borderId="0" xfId="0" applyFont="1" applyFill="1" applyAlignment="1">
      <alignment horizontal="center" vertical="center"/>
    </xf>
    <xf numFmtId="0" fontId="1" fillId="0" borderId="0" xfId="4">
      <alignment vertical="center"/>
    </xf>
    <xf numFmtId="0" fontId="60" fillId="24" borderId="1" xfId="4" applyFont="1" applyFill="1" applyBorder="1" applyAlignment="1">
      <alignment horizontal="center" vertical="center"/>
    </xf>
    <xf numFmtId="0" fontId="60" fillId="23" borderId="1" xfId="4" applyFont="1" applyFill="1" applyBorder="1" applyAlignment="1">
      <alignment horizontal="center" vertical="center"/>
    </xf>
    <xf numFmtId="0" fontId="0" fillId="0" borderId="9" xfId="0" applyBorder="1" applyAlignment="1"/>
    <xf numFmtId="0" fontId="5" fillId="4" borderId="4" xfId="0" applyFont="1" applyFill="1" applyBorder="1" applyAlignment="1">
      <alignment horizontal="center" vertical="center"/>
    </xf>
    <xf numFmtId="0" fontId="0" fillId="0" borderId="43" xfId="0" applyBorder="1" applyAlignment="1"/>
    <xf numFmtId="0" fontId="0" fillId="0" borderId="4" xfId="0" applyBorder="1" applyAlignment="1"/>
    <xf numFmtId="0" fontId="7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39" xfId="0" applyBorder="1" applyAlignment="1"/>
    <xf numFmtId="0" fontId="0" fillId="0" borderId="40" xfId="0" applyBorder="1" applyAlignment="1"/>
    <xf numFmtId="0" fontId="5" fillId="4" borderId="3" xfId="0" applyFont="1" applyFill="1" applyBorder="1" applyAlignment="1">
      <alignment horizontal="center" vertical="center"/>
    </xf>
    <xf numFmtId="0" fontId="0" fillId="0" borderId="44" xfId="0" applyBorder="1" applyAlignment="1"/>
    <xf numFmtId="0" fontId="5" fillId="4" borderId="5" xfId="0" applyFont="1" applyFill="1" applyBorder="1" applyAlignment="1">
      <alignment horizontal="center" vertical="center"/>
    </xf>
    <xf numFmtId="0" fontId="0" fillId="0" borderId="45" xfId="0" applyBorder="1" applyAlignment="1"/>
    <xf numFmtId="0" fontId="5" fillId="4" borderId="2" xfId="0" applyFont="1" applyFill="1" applyBorder="1" applyAlignment="1">
      <alignment horizontal="center" vertical="center"/>
    </xf>
    <xf numFmtId="0" fontId="0" fillId="0" borderId="42" xfId="0" applyBorder="1" applyAlignment="1"/>
    <xf numFmtId="0" fontId="5" fillId="4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41" xfId="0" applyBorder="1" applyAlignment="1"/>
    <xf numFmtId="0" fontId="7" fillId="4" borderId="9" xfId="0" applyFont="1" applyFill="1" applyBorder="1" applyAlignment="1">
      <alignment horizontal="center" vertical="center"/>
    </xf>
    <xf numFmtId="0" fontId="0" fillId="0" borderId="47" xfId="0" applyBorder="1" applyAlignment="1"/>
    <xf numFmtId="0" fontId="1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20" fillId="12" borderId="1" xfId="0" applyNumberFormat="1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49" fontId="21" fillId="1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2"/>
    </xf>
    <xf numFmtId="0" fontId="17" fillId="9" borderId="5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49" fontId="14" fillId="8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49" fontId="14" fillId="8" borderId="1" xfId="0" applyNumberFormat="1" applyFont="1" applyFill="1" applyBorder="1" applyAlignment="1">
      <alignment horizontal="center" vertical="center"/>
    </xf>
    <xf numFmtId="49" fontId="20" fillId="11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left" vertical="center" wrapText="1"/>
    </xf>
    <xf numFmtId="0" fontId="0" fillId="0" borderId="48" xfId="0" applyBorder="1" applyAlignment="1"/>
    <xf numFmtId="0" fontId="0" fillId="0" borderId="49" xfId="0" applyBorder="1" applyAlignment="1"/>
    <xf numFmtId="0" fontId="31" fillId="0" borderId="17" xfId="0" applyFont="1" applyBorder="1" applyAlignment="1">
      <alignment horizontal="left" vertical="center" wrapText="1" indent="2"/>
    </xf>
    <xf numFmtId="0" fontId="27" fillId="15" borderId="0" xfId="0" applyFont="1" applyFill="1" applyAlignment="1">
      <alignment horizontal="left" vertical="center"/>
    </xf>
    <xf numFmtId="0" fontId="0" fillId="0" borderId="0" xfId="0" applyAlignment="1"/>
    <xf numFmtId="0" fontId="31" fillId="0" borderId="16" xfId="0" applyFont="1" applyBorder="1" applyAlignment="1">
      <alignment horizontal="left" vertical="center" indent="2"/>
    </xf>
    <xf numFmtId="0" fontId="29" fillId="0" borderId="16" xfId="0" applyFont="1" applyBorder="1" applyAlignment="1">
      <alignment horizontal="left" vertical="center" indent="2"/>
    </xf>
    <xf numFmtId="0" fontId="34" fillId="0" borderId="16" xfId="0" applyFont="1" applyBorder="1" applyAlignment="1">
      <alignment horizontal="left" vertical="center" wrapText="1"/>
    </xf>
    <xf numFmtId="0" fontId="27" fillId="15" borderId="15" xfId="0" applyFont="1" applyFill="1" applyBorder="1" applyAlignment="1">
      <alignment horizontal="left" vertical="center" wrapText="1"/>
    </xf>
    <xf numFmtId="0" fontId="0" fillId="0" borderId="15" xfId="0" applyBorder="1" applyAlignment="1"/>
    <xf numFmtId="0" fontId="2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25" fillId="13" borderId="5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left" vertical="center"/>
    </xf>
    <xf numFmtId="0" fontId="37" fillId="16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31" fillId="0" borderId="17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left" vertical="center" wrapText="1" indent="1"/>
    </xf>
    <xf numFmtId="0" fontId="30" fillId="0" borderId="17" xfId="0" applyFont="1" applyBorder="1" applyAlignment="1">
      <alignment horizontal="left" vertical="center" wrapText="1" indent="1"/>
    </xf>
    <xf numFmtId="0" fontId="7" fillId="13" borderId="1" xfId="0" applyFont="1" applyFill="1" applyBorder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24" fillId="13" borderId="11" xfId="0" applyFont="1" applyFill="1" applyBorder="1" applyAlignment="1">
      <alignment horizontal="center" vertical="center"/>
    </xf>
    <xf numFmtId="0" fontId="38" fillId="0" borderId="16" xfId="0" applyFont="1" applyBorder="1" applyAlignment="1">
      <alignment horizontal="left" vertical="center" wrapText="1"/>
    </xf>
    <xf numFmtId="0" fontId="33" fillId="16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9" fillId="0" borderId="16" xfId="0" applyFont="1" applyBorder="1" applyAlignment="1">
      <alignment horizontal="left" vertical="center" indent="1"/>
    </xf>
    <xf numFmtId="0" fontId="32" fillId="16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41" fillId="3" borderId="1" xfId="0" applyNumberFormat="1" applyFont="1" applyFill="1" applyBorder="1" applyAlignment="1">
      <alignment horizontal="center" vertical="center"/>
    </xf>
    <xf numFmtId="49" fontId="42" fillId="17" borderId="1" xfId="0" applyNumberFormat="1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0" fillId="0" borderId="50" xfId="0" applyBorder="1" applyAlignment="1"/>
    <xf numFmtId="0" fontId="49" fillId="20" borderId="19" xfId="0" applyFont="1" applyFill="1" applyBorder="1" applyAlignment="1">
      <alignment horizontal="center" vertical="center"/>
    </xf>
    <xf numFmtId="0" fontId="48" fillId="19" borderId="19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0" borderId="46" xfId="0" applyBorder="1" applyAlignment="1"/>
    <xf numFmtId="0" fontId="0" fillId="0" borderId="38" xfId="0" applyBorder="1" applyAlignment="1"/>
    <xf numFmtId="0" fontId="58" fillId="0" borderId="0" xfId="0" applyFont="1">
      <alignment vertical="center"/>
    </xf>
    <xf numFmtId="0" fontId="0" fillId="0" borderId="51" xfId="0" applyBorder="1" applyAlignment="1"/>
    <xf numFmtId="0" fontId="0" fillId="0" borderId="52" xfId="0" applyBorder="1" applyAlignment="1"/>
    <xf numFmtId="0" fontId="59" fillId="3" borderId="1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53" xfId="0" applyBorder="1" applyAlignment="1"/>
    <xf numFmtId="0" fontId="0" fillId="0" borderId="18" xfId="0" applyBorder="1" applyAlignment="1"/>
    <xf numFmtId="0" fontId="8" fillId="2" borderId="26" xfId="0" applyFont="1" applyFill="1" applyBorder="1" applyAlignment="1">
      <alignment vertical="center" wrapText="1"/>
    </xf>
  </cellXfs>
  <cellStyles count="5">
    <cellStyle name="一般" xfId="0" builtinId="0"/>
    <cellStyle name="一般 18" xfId="1" xr:uid="{00000000-0005-0000-0000-000001000000}"/>
    <cellStyle name="一般 2" xfId="4" xr:uid="{00000000-0005-0000-0000-000004000000}"/>
    <cellStyle name="一般 2 3" xfId="2" xr:uid="{00000000-0005-0000-0000-000002000000}"/>
    <cellStyle name="一般 20" xfId="3" xr:uid="{00000000-0005-0000-0000-000003000000}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F8D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C1E9FF"/>
      <rgbColor rgb="FF7030A0"/>
      <rgbColor rgb="FFFFFFCC"/>
      <rgbColor rgb="FFDBEEF4"/>
      <rgbColor rgb="FF660066"/>
      <rgbColor rgb="FFFDEADA"/>
      <rgbColor rgb="FF0070C0"/>
      <rgbColor rgb="FFD9D9D9"/>
      <rgbColor rgb="FF000080"/>
      <rgbColor rgb="FFFF00FF"/>
      <rgbColor rgb="FFF4F69C"/>
      <rgbColor rgb="FF00FFFF"/>
      <rgbColor rgb="FF800080"/>
      <rgbColor rgb="FF800000"/>
      <rgbColor rgb="FF008080"/>
      <rgbColor rgb="FF0000FF"/>
      <rgbColor rgb="FF00CCFF"/>
      <rgbColor rgb="FFE5F0FF"/>
      <rgbColor rgb="FFC4EECC"/>
      <rgbColor rgb="FFFFFF99"/>
      <rgbColor rgb="FFB7DEE8"/>
      <rgbColor rgb="FFFDE2CB"/>
      <rgbColor rgb="FFE6E0EC"/>
      <rgbColor rgb="FFFAC090"/>
      <rgbColor rgb="FF3366FF"/>
      <rgbColor rgb="FF33CCCC"/>
      <rgbColor rgb="FFFDFBA1"/>
      <rgbColor rgb="FFFFC000"/>
      <rgbColor rgb="FFFEE8F8"/>
      <rgbColor rgb="FFFF6600"/>
      <rgbColor rgb="FF376092"/>
      <rgbColor rgb="FFB7EBC1"/>
      <rgbColor rgb="FF003366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zoomScaleNormal="100" workbookViewId="0">
      <pane xSplit="2" ySplit="4" topLeftCell="C5" activePane="bottomRight" state="frozen"/>
      <selection pane="topRight" activeCell="K1" sqref="K1"/>
      <selection pane="bottomLeft" activeCell="A5" sqref="A5"/>
      <selection pane="bottomRight" activeCell="B20" sqref="B20"/>
    </sheetView>
  </sheetViews>
  <sheetFormatPr defaultColWidth="8.88671875" defaultRowHeight="15.6"/>
  <cols>
    <col min="1" max="1" width="13.33203125" style="3" customWidth="1"/>
    <col min="2" max="2" width="43.33203125" style="3" customWidth="1"/>
    <col min="3" max="3" width="14.44140625" style="3" customWidth="1"/>
    <col min="4" max="4" width="12.44140625" style="3" customWidth="1"/>
    <col min="5" max="5" width="12.88671875" style="3" customWidth="1"/>
    <col min="6" max="6" width="16.88671875" style="3" customWidth="1"/>
    <col min="7" max="7" width="12.6640625" style="3" customWidth="1"/>
    <col min="8" max="9" width="8.6640625" style="4" customWidth="1"/>
    <col min="10" max="17" width="8.88671875" style="4" customWidth="1"/>
    <col min="18" max="18" width="9" style="4" customWidth="1"/>
    <col min="19" max="22" width="8.88671875" style="4" customWidth="1"/>
    <col min="23" max="23" width="8.88671875" style="3" customWidth="1"/>
    <col min="24" max="24" width="13.33203125" style="3" customWidth="1"/>
    <col min="25" max="25" width="16.109375" style="3" customWidth="1"/>
    <col min="26" max="26" width="11.109375" style="3" customWidth="1"/>
    <col min="27" max="27" width="16.109375" style="3" customWidth="1"/>
    <col min="28" max="28" width="15" style="3" customWidth="1"/>
    <col min="29" max="29" width="8.88671875" style="3" customWidth="1"/>
    <col min="30" max="16384" width="8.88671875" style="3"/>
  </cols>
  <sheetData>
    <row r="1" spans="1:23" ht="5.25" customHeight="1"/>
    <row r="2" spans="1:23" ht="22.5" customHeight="1">
      <c r="A2" s="149" t="s">
        <v>3</v>
      </c>
      <c r="B2" s="160" t="s">
        <v>4</v>
      </c>
      <c r="C2" s="152" t="s">
        <v>5</v>
      </c>
      <c r="D2" s="146"/>
      <c r="E2" s="146"/>
      <c r="F2" s="146"/>
      <c r="G2" s="153"/>
      <c r="H2" s="145" t="s">
        <v>6</v>
      </c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4"/>
    </row>
    <row r="3" spans="1:23" ht="18.75" customHeight="1">
      <c r="A3" s="150"/>
      <c r="B3" s="161"/>
      <c r="C3" s="154" t="s">
        <v>7</v>
      </c>
      <c r="D3" s="158" t="s">
        <v>8</v>
      </c>
      <c r="E3" s="158" t="s">
        <v>9</v>
      </c>
      <c r="F3" s="158" t="s">
        <v>10</v>
      </c>
      <c r="G3" s="156" t="s">
        <v>0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">
        <v>9</v>
      </c>
      <c r="Q3" s="6">
        <v>10</v>
      </c>
      <c r="R3" s="6">
        <v>11</v>
      </c>
      <c r="S3" s="6">
        <v>12</v>
      </c>
      <c r="T3" s="6">
        <v>13</v>
      </c>
      <c r="U3" s="6">
        <v>14</v>
      </c>
      <c r="V3" s="7">
        <v>15</v>
      </c>
      <c r="W3" s="4"/>
    </row>
    <row r="4" spans="1:23" ht="30.75" customHeight="1">
      <c r="A4" s="151"/>
      <c r="B4" s="157"/>
      <c r="C4" s="155"/>
      <c r="D4" s="151"/>
      <c r="E4" s="151"/>
      <c r="F4" s="151"/>
      <c r="G4" s="157"/>
      <c r="H4" s="159" t="s">
        <v>11</v>
      </c>
      <c r="I4" s="144"/>
      <c r="J4" s="148" t="s">
        <v>12</v>
      </c>
      <c r="K4" s="144"/>
      <c r="L4" s="162" t="s">
        <v>13</v>
      </c>
      <c r="M4" s="163"/>
      <c r="N4" s="144"/>
      <c r="O4" s="2" t="s">
        <v>14</v>
      </c>
      <c r="P4" s="8" t="s">
        <v>15</v>
      </c>
      <c r="Q4" s="8" t="s">
        <v>16</v>
      </c>
      <c r="R4" s="9" t="s">
        <v>17</v>
      </c>
      <c r="S4" s="9" t="s">
        <v>18</v>
      </c>
      <c r="T4" s="10" t="s">
        <v>19</v>
      </c>
      <c r="U4" s="10" t="s">
        <v>20</v>
      </c>
      <c r="V4" s="11" t="s">
        <v>21</v>
      </c>
      <c r="W4" s="12"/>
    </row>
    <row r="5" spans="1:23" ht="15" customHeight="1">
      <c r="A5" s="13">
        <v>1</v>
      </c>
      <c r="B5" s="14" t="str">
        <f>C5&amp;"/"&amp;D5&amp;"/"&amp;E5&amp;"/"&amp;F5&amp;"//"&amp;G5</f>
        <v>GT-BN98/EU/13/P_EU//PW</v>
      </c>
      <c r="C5" s="15" t="s">
        <v>22</v>
      </c>
      <c r="D5" s="16" t="s">
        <v>23</v>
      </c>
      <c r="E5" s="17">
        <v>13</v>
      </c>
      <c r="F5" s="17" t="s">
        <v>24</v>
      </c>
      <c r="G5" s="18" t="s">
        <v>1</v>
      </c>
      <c r="H5" s="13">
        <v>9</v>
      </c>
      <c r="I5" s="13">
        <v>0</v>
      </c>
      <c r="J5" s="13" t="s">
        <v>25</v>
      </c>
      <c r="K5" s="13" t="s">
        <v>26</v>
      </c>
      <c r="L5" s="19">
        <v>0</v>
      </c>
      <c r="M5" s="19" t="s">
        <v>27</v>
      </c>
      <c r="N5" s="19" t="s">
        <v>28</v>
      </c>
      <c r="O5" s="20">
        <v>0</v>
      </c>
      <c r="P5" s="21" t="s">
        <v>29</v>
      </c>
      <c r="Q5" s="13" t="s">
        <v>30</v>
      </c>
      <c r="R5" s="22" t="s">
        <v>31</v>
      </c>
      <c r="S5" s="22">
        <v>3</v>
      </c>
      <c r="T5" s="19" t="s">
        <v>27</v>
      </c>
      <c r="U5" s="23">
        <v>0</v>
      </c>
      <c r="V5" s="24" t="s">
        <v>32</v>
      </c>
      <c r="W5" s="4"/>
    </row>
    <row r="6" spans="1:23" ht="15" customHeight="1">
      <c r="A6" s="13">
        <v>2</v>
      </c>
      <c r="B6" s="14" t="str">
        <f>C6&amp;"/"&amp;D6&amp;"/"&amp;E6&amp;"/"&amp;F6&amp;"//"&amp;G6</f>
        <v>GT-BN98/APAC/11/P_EU_UK_AU//PW</v>
      </c>
      <c r="C6" s="15" t="s">
        <v>22</v>
      </c>
      <c r="D6" s="16" t="s">
        <v>33</v>
      </c>
      <c r="E6" s="17">
        <v>11</v>
      </c>
      <c r="F6" s="17" t="s">
        <v>34</v>
      </c>
      <c r="G6" s="18" t="s">
        <v>1</v>
      </c>
      <c r="H6" s="13">
        <v>9</v>
      </c>
      <c r="I6" s="13">
        <v>0</v>
      </c>
      <c r="J6" s="13" t="s">
        <v>25</v>
      </c>
      <c r="K6" s="13" t="s">
        <v>26</v>
      </c>
      <c r="L6" s="19">
        <v>0</v>
      </c>
      <c r="M6" s="19" t="s">
        <v>27</v>
      </c>
      <c r="N6" s="19" t="s">
        <v>28</v>
      </c>
      <c r="O6" s="20">
        <v>0</v>
      </c>
      <c r="P6" s="21" t="s">
        <v>29</v>
      </c>
      <c r="Q6" s="13" t="s">
        <v>30</v>
      </c>
      <c r="R6" s="22" t="s">
        <v>35</v>
      </c>
      <c r="S6" s="22" t="s">
        <v>27</v>
      </c>
      <c r="T6" s="19" t="s">
        <v>27</v>
      </c>
      <c r="U6" s="23">
        <v>0</v>
      </c>
      <c r="V6" s="24" t="s">
        <v>32</v>
      </c>
      <c r="W6" s="4"/>
    </row>
    <row r="7" spans="1:23" ht="15" customHeight="1">
      <c r="A7" s="13">
        <v>3</v>
      </c>
      <c r="B7" s="14" t="str">
        <f>C7&amp;"/"&amp;D7&amp;"/"&amp;E7&amp;"/"&amp;F7&amp;"//"&amp;G7</f>
        <v>GT-BN98/JP/13/P_JP//PW</v>
      </c>
      <c r="C7" s="15" t="s">
        <v>22</v>
      </c>
      <c r="D7" s="16" t="s">
        <v>36</v>
      </c>
      <c r="E7" s="17">
        <v>13</v>
      </c>
      <c r="F7" s="17" t="s">
        <v>37</v>
      </c>
      <c r="G7" s="18" t="s">
        <v>1</v>
      </c>
      <c r="H7" s="13">
        <v>9</v>
      </c>
      <c r="I7" s="13">
        <v>0</v>
      </c>
      <c r="J7" s="13" t="s">
        <v>25</v>
      </c>
      <c r="K7" s="13" t="s">
        <v>26</v>
      </c>
      <c r="L7" s="19">
        <v>0</v>
      </c>
      <c r="M7" s="19" t="s">
        <v>27</v>
      </c>
      <c r="N7" s="19" t="s">
        <v>28</v>
      </c>
      <c r="O7" s="20">
        <v>0</v>
      </c>
      <c r="P7" s="21" t="s">
        <v>29</v>
      </c>
      <c r="Q7" s="13" t="s">
        <v>30</v>
      </c>
      <c r="R7" s="22" t="s">
        <v>38</v>
      </c>
      <c r="S7" s="22">
        <v>6</v>
      </c>
      <c r="T7" s="19" t="s">
        <v>27</v>
      </c>
      <c r="U7" s="23">
        <v>0</v>
      </c>
      <c r="V7" s="24" t="s">
        <v>32</v>
      </c>
      <c r="W7" s="4"/>
    </row>
    <row r="8" spans="1:23" ht="15" customHeight="1">
      <c r="A8" s="13">
        <v>4</v>
      </c>
      <c r="B8" s="14" t="str">
        <f>C8&amp;"/"&amp;D8&amp;"/"&amp;E8&amp;"/"&amp;F8&amp;"//"&amp;G8</f>
        <v>GT-BN98/KR/13/P_KR//PW</v>
      </c>
      <c r="C8" s="15" t="s">
        <v>22</v>
      </c>
      <c r="D8" s="16" t="s">
        <v>39</v>
      </c>
      <c r="E8" s="17">
        <v>13</v>
      </c>
      <c r="F8" s="17" t="s">
        <v>40</v>
      </c>
      <c r="G8" s="18" t="s">
        <v>1</v>
      </c>
      <c r="H8" s="13">
        <v>9</v>
      </c>
      <c r="I8" s="13">
        <v>0</v>
      </c>
      <c r="J8" s="13" t="s">
        <v>25</v>
      </c>
      <c r="K8" s="13" t="s">
        <v>26</v>
      </c>
      <c r="L8" s="19">
        <v>0</v>
      </c>
      <c r="M8" s="19" t="s">
        <v>27</v>
      </c>
      <c r="N8" s="19" t="s">
        <v>28</v>
      </c>
      <c r="O8" s="20">
        <v>0</v>
      </c>
      <c r="P8" s="21" t="s">
        <v>29</v>
      </c>
      <c r="Q8" s="13" t="s">
        <v>30</v>
      </c>
      <c r="R8" s="22" t="s">
        <v>41</v>
      </c>
      <c r="S8" s="22">
        <v>4</v>
      </c>
      <c r="T8" s="19" t="s">
        <v>27</v>
      </c>
      <c r="U8" s="23">
        <v>0</v>
      </c>
      <c r="V8" s="24" t="s">
        <v>32</v>
      </c>
      <c r="W8" s="4"/>
    </row>
    <row r="9" spans="1:23" ht="15" customHeight="1">
      <c r="A9" s="13"/>
      <c r="B9" s="14"/>
      <c r="C9" s="15"/>
      <c r="D9" s="16"/>
      <c r="E9" s="17"/>
      <c r="F9" s="17"/>
      <c r="G9" s="18"/>
      <c r="H9" s="13"/>
      <c r="I9" s="13"/>
      <c r="J9" s="13"/>
      <c r="K9" s="13"/>
      <c r="L9" s="19"/>
      <c r="M9" s="19"/>
      <c r="N9" s="19"/>
      <c r="O9" s="20"/>
      <c r="P9" s="21"/>
      <c r="Q9" s="13"/>
      <c r="R9" s="22"/>
      <c r="S9" s="22"/>
      <c r="T9" s="19"/>
      <c r="U9" s="23"/>
      <c r="V9" s="24"/>
      <c r="W9" s="4"/>
    </row>
    <row r="10" spans="1:23" ht="15" customHeight="1">
      <c r="A10" s="13"/>
      <c r="B10" s="14"/>
      <c r="C10" s="15"/>
      <c r="D10" s="16"/>
      <c r="E10" s="17"/>
      <c r="F10" s="17"/>
      <c r="G10" s="18"/>
      <c r="H10" s="13"/>
      <c r="I10" s="13"/>
      <c r="J10" s="13"/>
      <c r="K10" s="13"/>
      <c r="L10" s="19"/>
      <c r="M10" s="19"/>
      <c r="N10" s="19"/>
      <c r="O10" s="20"/>
      <c r="P10" s="21"/>
      <c r="Q10" s="13"/>
      <c r="R10" s="22"/>
      <c r="S10" s="22"/>
      <c r="T10" s="19"/>
      <c r="U10" s="23"/>
      <c r="V10" s="24"/>
      <c r="W10" s="4"/>
    </row>
    <row r="11" spans="1:23" ht="15" customHeight="1">
      <c r="A11" s="13"/>
      <c r="B11" s="14"/>
      <c r="C11" s="15"/>
      <c r="D11" s="16"/>
      <c r="E11" s="17"/>
      <c r="F11" s="17"/>
      <c r="G11" s="18"/>
      <c r="H11" s="13"/>
      <c r="I11" s="13"/>
      <c r="J11" s="13"/>
      <c r="K11" s="13"/>
      <c r="L11" s="19"/>
      <c r="M11" s="19"/>
      <c r="N11" s="19"/>
      <c r="O11" s="20"/>
      <c r="P11" s="21"/>
      <c r="Q11" s="13"/>
      <c r="R11" s="22"/>
      <c r="S11" s="22"/>
      <c r="T11" s="19"/>
      <c r="U11" s="23"/>
      <c r="V11" s="24"/>
      <c r="W11" s="4"/>
    </row>
  </sheetData>
  <mergeCells count="12">
    <mergeCell ref="H2:V2"/>
    <mergeCell ref="J4:K4"/>
    <mergeCell ref="A2:A4"/>
    <mergeCell ref="C2:G2"/>
    <mergeCell ref="C3:C4"/>
    <mergeCell ref="G3:G4"/>
    <mergeCell ref="E3:E4"/>
    <mergeCell ref="F3:F4"/>
    <mergeCell ref="D3:D4"/>
    <mergeCell ref="H4:I4"/>
    <mergeCell ref="B2:B4"/>
    <mergeCell ref="L4:N4"/>
  </mergeCells>
  <phoneticPr fontId="63" type="noConversion"/>
  <pageMargins left="0.7" right="0.7" top="0.75" bottom="0.75" header="0.3" footer="0.3"/>
  <pageSetup paperSize="9" orientation="portrait" horizontalDpi="300" verticalDpi="300"/>
  <headerFooter>
    <oddHeader>&amp;L&amp;"Aptos"&amp;10&amp;KFF0000 ASUS_Confidential&amp;1#_x000D_&amp;"新細明體"&amp;12&amp;K000000&amp;"新細明體"&amp;12&amp;K000000&amp;"Aptos,Regular"&amp;1 &amp;K0000ff ASUS_General#_x000D_</oddHeader>
    <oddFooter>&amp;L&amp;"Aptos,Regular"&amp;10 &amp;K0000ff_x000D_# ASUS_General_x000D_&amp;1#&amp;"Aptos"&amp;10&amp;KFF0000 ASUS_Confidential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O37"/>
  <sheetViews>
    <sheetView topLeftCell="A9" zoomScaleNormal="100" workbookViewId="0">
      <selection activeCell="N39" sqref="N39"/>
    </sheetView>
  </sheetViews>
  <sheetFormatPr defaultColWidth="8.88671875" defaultRowHeight="15.6"/>
  <cols>
    <col min="1" max="1" width="8.88671875" style="3" customWidth="1"/>
    <col min="2" max="3" width="8.6640625" style="4" customWidth="1"/>
    <col min="4" max="7" width="8.88671875" style="4" customWidth="1"/>
    <col min="8" max="10" width="11.88671875" style="4" customWidth="1"/>
    <col min="11" max="11" width="8.88671875" style="4" customWidth="1"/>
    <col min="12" max="12" width="9" style="4" customWidth="1"/>
    <col min="13" max="16" width="8.88671875" style="4" customWidth="1"/>
    <col min="17" max="17" width="70.77734375" style="3" customWidth="1"/>
    <col min="18" max="18" width="8.88671875" style="3" customWidth="1"/>
    <col min="19" max="16384" width="8.88671875" style="3"/>
  </cols>
  <sheetData>
    <row r="2" spans="1:41" ht="18" customHeight="1">
      <c r="B2" s="25" t="s">
        <v>42</v>
      </c>
      <c r="C2" s="3"/>
      <c r="D2" s="3"/>
    </row>
    <row r="3" spans="1:41" ht="18" customHeight="1">
      <c r="B3" s="174" t="s">
        <v>43</v>
      </c>
      <c r="C3" s="175"/>
      <c r="D3" s="175"/>
      <c r="E3" s="175"/>
      <c r="F3" s="175"/>
      <c r="G3" s="175"/>
    </row>
    <row r="4" spans="1:41" ht="31.5" customHeight="1">
      <c r="B4" s="26" t="s">
        <v>44</v>
      </c>
      <c r="C4" s="3"/>
      <c r="D4" s="3"/>
    </row>
    <row r="5" spans="1:41" s="27" customFormat="1" ht="23.25" customHeight="1">
      <c r="B5" s="28" t="s">
        <v>45</v>
      </c>
      <c r="C5" s="29"/>
      <c r="D5" s="29"/>
      <c r="E5" s="30"/>
      <c r="F5" s="30"/>
      <c r="G5" s="31"/>
      <c r="H5" s="31"/>
      <c r="I5" s="31"/>
    </row>
    <row r="6" spans="1:41" s="27" customFormat="1" ht="36.75" customHeight="1">
      <c r="B6" s="176" t="s">
        <v>46</v>
      </c>
      <c r="C6" s="163"/>
      <c r="D6" s="163"/>
      <c r="E6" s="144"/>
      <c r="F6" s="178" t="s">
        <v>47</v>
      </c>
      <c r="G6" s="163"/>
      <c r="H6" s="144"/>
      <c r="I6" s="1" t="s">
        <v>48</v>
      </c>
      <c r="J6" s="178" t="s">
        <v>49</v>
      </c>
      <c r="K6" s="163"/>
      <c r="L6" s="163"/>
      <c r="M6" s="144"/>
      <c r="N6" s="4"/>
      <c r="O6" s="4"/>
      <c r="P6" s="4"/>
      <c r="Q6" s="4"/>
    </row>
    <row r="7" spans="1:41" s="27" customFormat="1" ht="23.25" customHeight="1">
      <c r="B7" s="177" t="s">
        <v>50</v>
      </c>
      <c r="C7" s="163"/>
      <c r="D7" s="163"/>
      <c r="E7" s="144"/>
      <c r="F7" s="168" t="s">
        <v>51</v>
      </c>
      <c r="G7" s="163"/>
      <c r="H7" s="144"/>
      <c r="I7" s="23">
        <v>1</v>
      </c>
      <c r="J7" s="180" t="s">
        <v>52</v>
      </c>
      <c r="K7" s="163"/>
      <c r="L7" s="163"/>
      <c r="M7" s="144"/>
      <c r="N7" s="4"/>
      <c r="O7" s="4"/>
      <c r="P7" s="4"/>
      <c r="Q7" s="4"/>
    </row>
    <row r="8" spans="1:41" ht="24.75" customHeight="1"/>
    <row r="9" spans="1:41" ht="29.25" customHeight="1">
      <c r="B9" s="167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7"/>
      <c r="Q9" s="4"/>
    </row>
    <row r="10" spans="1:41" ht="18.75" customHeight="1">
      <c r="B10" s="32">
        <v>1</v>
      </c>
      <c r="C10" s="33">
        <v>2</v>
      </c>
      <c r="D10" s="33">
        <v>3</v>
      </c>
      <c r="E10" s="33">
        <v>4</v>
      </c>
      <c r="F10" s="33">
        <v>5</v>
      </c>
      <c r="G10" s="33">
        <v>6</v>
      </c>
      <c r="H10" s="33">
        <v>7</v>
      </c>
      <c r="I10" s="33">
        <v>8</v>
      </c>
      <c r="J10" s="33">
        <v>9</v>
      </c>
      <c r="K10" s="33">
        <v>10</v>
      </c>
      <c r="L10" s="33">
        <v>11</v>
      </c>
      <c r="M10" s="34">
        <v>12</v>
      </c>
      <c r="N10" s="34">
        <v>13</v>
      </c>
      <c r="O10" s="33">
        <v>14</v>
      </c>
      <c r="P10" s="34">
        <v>15</v>
      </c>
      <c r="Q10" s="4"/>
    </row>
    <row r="11" spans="1:41" ht="24.75" customHeight="1">
      <c r="B11" s="171" t="s">
        <v>11</v>
      </c>
      <c r="C11" s="144"/>
      <c r="D11" s="172" t="s">
        <v>12</v>
      </c>
      <c r="E11" s="144"/>
      <c r="F11" s="173" t="s">
        <v>13</v>
      </c>
      <c r="G11" s="163"/>
      <c r="H11" s="144"/>
      <c r="I11" s="35" t="s">
        <v>21</v>
      </c>
      <c r="J11" s="36" t="s">
        <v>15</v>
      </c>
      <c r="K11" s="35" t="s">
        <v>16</v>
      </c>
      <c r="L11" s="35" t="s">
        <v>16</v>
      </c>
      <c r="M11" s="37" t="s">
        <v>17</v>
      </c>
      <c r="N11" s="35" t="s">
        <v>21</v>
      </c>
      <c r="O11" s="38" t="s">
        <v>20</v>
      </c>
      <c r="P11" s="39" t="s">
        <v>21</v>
      </c>
      <c r="Q11" s="12"/>
    </row>
    <row r="12" spans="1:41" ht="26.25" customHeight="1">
      <c r="B12" s="40">
        <v>8</v>
      </c>
      <c r="C12" s="41">
        <v>9</v>
      </c>
      <c r="D12" s="41" t="s">
        <v>25</v>
      </c>
      <c r="E12" s="41" t="s">
        <v>26</v>
      </c>
      <c r="F12" s="42">
        <f>'90編碼原則'!L5</f>
        <v>0</v>
      </c>
      <c r="G12" s="42" t="str">
        <f>'90編碼原則'!M5</f>
        <v>A</v>
      </c>
      <c r="H12" s="42" t="str">
        <f>'90編碼原則'!N5</f>
        <v>T</v>
      </c>
      <c r="I12" s="43">
        <v>0</v>
      </c>
      <c r="J12" s="44" t="s">
        <v>15</v>
      </c>
      <c r="K12" s="43" t="s">
        <v>27</v>
      </c>
      <c r="L12" s="43" t="s">
        <v>54</v>
      </c>
      <c r="M12" s="42"/>
      <c r="N12" s="43">
        <v>0</v>
      </c>
      <c r="O12" s="42"/>
      <c r="P12" s="45">
        <v>0</v>
      </c>
    </row>
    <row r="14" spans="1:41" ht="23.25" customHeight="1">
      <c r="B14" s="46" t="s">
        <v>55</v>
      </c>
    </row>
    <row r="15" spans="1:41" ht="24.75" customHeight="1">
      <c r="A15" s="47"/>
      <c r="B15" s="179" t="s">
        <v>56</v>
      </c>
      <c r="C15" s="163"/>
      <c r="D15" s="144"/>
      <c r="E15" s="166" t="s">
        <v>57</v>
      </c>
      <c r="F15" s="163"/>
      <c r="G15" s="144"/>
      <c r="H15" s="166" t="s">
        <v>58</v>
      </c>
      <c r="I15" s="163"/>
      <c r="J15" s="144"/>
      <c r="K15" s="169" t="s">
        <v>59</v>
      </c>
      <c r="L15" s="144"/>
      <c r="M15" s="169" t="s">
        <v>47</v>
      </c>
      <c r="N15" s="163"/>
      <c r="O15" s="144"/>
      <c r="P15" s="48" t="s">
        <v>48</v>
      </c>
      <c r="Q15" s="49" t="s">
        <v>49</v>
      </c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</row>
    <row r="16" spans="1:41" ht="24.75" customHeight="1">
      <c r="A16" s="47"/>
      <c r="B16" s="165" t="s">
        <v>60</v>
      </c>
      <c r="C16" s="163"/>
      <c r="D16" s="144"/>
      <c r="E16" s="165" t="s">
        <v>61</v>
      </c>
      <c r="F16" s="163"/>
      <c r="G16" s="144"/>
      <c r="H16" s="170" t="s">
        <v>62</v>
      </c>
      <c r="I16" s="163"/>
      <c r="J16" s="144"/>
      <c r="K16" s="164" t="s">
        <v>50</v>
      </c>
      <c r="L16" s="144"/>
      <c r="M16" s="165" t="s">
        <v>63</v>
      </c>
      <c r="N16" s="163"/>
      <c r="O16" s="144"/>
      <c r="P16" s="50">
        <v>1</v>
      </c>
      <c r="Q16" s="51" t="s">
        <v>64</v>
      </c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</row>
    <row r="17" spans="1:41" ht="24.75" customHeight="1">
      <c r="A17" s="47"/>
      <c r="B17" s="165" t="s">
        <v>65</v>
      </c>
      <c r="C17" s="163"/>
      <c r="D17" s="144"/>
      <c r="E17" s="165"/>
      <c r="F17" s="163"/>
      <c r="G17" s="144"/>
      <c r="H17" s="165"/>
      <c r="I17" s="163"/>
      <c r="J17" s="144"/>
      <c r="K17" s="164"/>
      <c r="L17" s="144"/>
      <c r="M17" s="165"/>
      <c r="N17" s="163"/>
      <c r="O17" s="144"/>
      <c r="P17" s="50"/>
      <c r="Q17" s="52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</row>
    <row r="18" spans="1:41" ht="24.75" customHeight="1">
      <c r="A18" s="47"/>
      <c r="B18" s="165"/>
      <c r="C18" s="163"/>
      <c r="D18" s="144"/>
      <c r="E18" s="165"/>
      <c r="F18" s="163"/>
      <c r="G18" s="144"/>
      <c r="H18" s="165"/>
      <c r="I18" s="163"/>
      <c r="J18" s="144"/>
      <c r="K18" s="164"/>
      <c r="L18" s="144"/>
      <c r="M18" s="165"/>
      <c r="N18" s="163"/>
      <c r="O18" s="144"/>
      <c r="P18" s="50"/>
      <c r="Q18" s="52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</row>
    <row r="19" spans="1:41" ht="24.75" customHeight="1">
      <c r="A19" s="47"/>
      <c r="B19" s="165"/>
      <c r="C19" s="163"/>
      <c r="D19" s="144"/>
      <c r="E19" s="165"/>
      <c r="F19" s="163"/>
      <c r="G19" s="144"/>
      <c r="H19" s="165"/>
      <c r="I19" s="163"/>
      <c r="J19" s="144"/>
      <c r="K19" s="164"/>
      <c r="L19" s="144"/>
      <c r="M19" s="165"/>
      <c r="N19" s="163"/>
      <c r="O19" s="144"/>
      <c r="P19" s="50"/>
      <c r="Q19" s="52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</row>
    <row r="20" spans="1:41" ht="24.75" customHeight="1">
      <c r="A20" s="47"/>
      <c r="B20" s="165" t="s">
        <v>66</v>
      </c>
      <c r="C20" s="163"/>
      <c r="D20" s="144"/>
      <c r="E20" s="165" t="s">
        <v>67</v>
      </c>
      <c r="F20" s="163"/>
      <c r="G20" s="144"/>
      <c r="H20" s="170" t="s">
        <v>68</v>
      </c>
      <c r="I20" s="163"/>
      <c r="J20" s="144"/>
      <c r="K20" s="164" t="s">
        <v>50</v>
      </c>
      <c r="L20" s="144"/>
      <c r="M20" s="165" t="s">
        <v>63</v>
      </c>
      <c r="N20" s="163"/>
      <c r="O20" s="144"/>
      <c r="P20" s="50">
        <v>1</v>
      </c>
      <c r="Q20" s="51" t="s">
        <v>64</v>
      </c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</row>
    <row r="21" spans="1:41" ht="24.75" customHeight="1">
      <c r="A21" s="47"/>
      <c r="B21" s="165"/>
      <c r="C21" s="163"/>
      <c r="D21" s="144"/>
      <c r="E21" s="165"/>
      <c r="F21" s="163"/>
      <c r="G21" s="144"/>
      <c r="H21" s="165"/>
      <c r="I21" s="163"/>
      <c r="J21" s="144"/>
      <c r="K21" s="164"/>
      <c r="L21" s="144"/>
      <c r="M21" s="165"/>
      <c r="N21" s="163"/>
      <c r="O21" s="144"/>
      <c r="P21" s="50"/>
      <c r="Q21" s="52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</row>
    <row r="22" spans="1:41" ht="24.75" customHeight="1">
      <c r="A22" s="47"/>
      <c r="B22" s="165"/>
      <c r="C22" s="163"/>
      <c r="D22" s="144"/>
      <c r="E22" s="165"/>
      <c r="F22" s="163"/>
      <c r="G22" s="144"/>
      <c r="H22" s="165"/>
      <c r="I22" s="163"/>
      <c r="J22" s="144"/>
      <c r="K22" s="164"/>
      <c r="L22" s="144"/>
      <c r="M22" s="165"/>
      <c r="N22" s="163"/>
      <c r="O22" s="144"/>
      <c r="P22" s="50"/>
      <c r="Q22" s="52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</row>
    <row r="23" spans="1:41" ht="24.75" customHeight="1">
      <c r="A23" s="47"/>
      <c r="B23" s="165" t="s">
        <v>69</v>
      </c>
      <c r="C23" s="163"/>
      <c r="D23" s="144"/>
      <c r="E23" s="165" t="s">
        <v>70</v>
      </c>
      <c r="F23" s="163"/>
      <c r="G23" s="144"/>
      <c r="H23" s="170" t="s">
        <v>71</v>
      </c>
      <c r="I23" s="163"/>
      <c r="J23" s="144"/>
      <c r="K23" s="164" t="s">
        <v>50</v>
      </c>
      <c r="L23" s="144"/>
      <c r="M23" s="165" t="s">
        <v>63</v>
      </c>
      <c r="N23" s="163"/>
      <c r="O23" s="144"/>
      <c r="P23" s="50">
        <v>1</v>
      </c>
      <c r="Q23" s="51" t="s">
        <v>64</v>
      </c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</row>
    <row r="24" spans="1:41" ht="24.75" customHeight="1">
      <c r="A24" s="47"/>
      <c r="B24" s="165"/>
      <c r="C24" s="163"/>
      <c r="D24" s="144"/>
      <c r="E24" s="165"/>
      <c r="F24" s="163"/>
      <c r="G24" s="144"/>
      <c r="H24" s="165"/>
      <c r="I24" s="163"/>
      <c r="J24" s="144"/>
      <c r="K24" s="164"/>
      <c r="L24" s="144"/>
      <c r="M24" s="165"/>
      <c r="N24" s="163"/>
      <c r="O24" s="144"/>
      <c r="P24" s="50"/>
      <c r="Q24" s="52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</row>
    <row r="25" spans="1:41" ht="24.75" customHeight="1">
      <c r="A25" s="47"/>
      <c r="B25" s="165"/>
      <c r="C25" s="163"/>
      <c r="D25" s="144"/>
      <c r="E25" s="165"/>
      <c r="F25" s="163"/>
      <c r="G25" s="144"/>
      <c r="H25" s="165"/>
      <c r="I25" s="163"/>
      <c r="J25" s="144"/>
      <c r="K25" s="164"/>
      <c r="L25" s="144"/>
      <c r="M25" s="165"/>
      <c r="N25" s="163"/>
      <c r="O25" s="144"/>
      <c r="P25" s="50"/>
      <c r="Q25" s="52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</row>
    <row r="26" spans="1:41" ht="24.75" customHeight="1">
      <c r="A26" s="47"/>
      <c r="B26" s="165" t="s">
        <v>72</v>
      </c>
      <c r="C26" s="163"/>
      <c r="D26" s="144"/>
      <c r="E26" s="165" t="s">
        <v>73</v>
      </c>
      <c r="F26" s="163"/>
      <c r="G26" s="144"/>
      <c r="H26" s="170" t="s">
        <v>74</v>
      </c>
      <c r="I26" s="163"/>
      <c r="J26" s="144"/>
      <c r="K26" s="164" t="s">
        <v>50</v>
      </c>
      <c r="L26" s="144"/>
      <c r="M26" s="165" t="s">
        <v>75</v>
      </c>
      <c r="N26" s="163"/>
      <c r="O26" s="144"/>
      <c r="P26" s="50">
        <v>1</v>
      </c>
      <c r="Q26" s="51" t="s">
        <v>76</v>
      </c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</row>
    <row r="27" spans="1:41" ht="24.75" customHeight="1">
      <c r="A27" s="47"/>
      <c r="B27" s="165"/>
      <c r="C27" s="163"/>
      <c r="D27" s="144"/>
      <c r="E27" s="165"/>
      <c r="F27" s="163"/>
      <c r="G27" s="144"/>
      <c r="H27" s="165"/>
      <c r="I27" s="163"/>
      <c r="J27" s="144"/>
      <c r="K27" s="164" t="s">
        <v>50</v>
      </c>
      <c r="L27" s="144"/>
      <c r="M27" s="165" t="s">
        <v>77</v>
      </c>
      <c r="N27" s="163"/>
      <c r="O27" s="144"/>
      <c r="P27" s="50">
        <v>1</v>
      </c>
      <c r="Q27" s="52" t="s">
        <v>78</v>
      </c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</row>
    <row r="28" spans="1:41" ht="24" customHeight="1">
      <c r="A28" s="47"/>
      <c r="B28" s="165"/>
      <c r="C28" s="163"/>
      <c r="D28" s="144"/>
      <c r="E28" s="165"/>
      <c r="F28" s="163"/>
      <c r="G28" s="144"/>
      <c r="H28" s="165"/>
      <c r="I28" s="163"/>
      <c r="J28" s="144"/>
      <c r="K28" s="164" t="s">
        <v>50</v>
      </c>
      <c r="L28" s="144"/>
      <c r="M28" s="165" t="s">
        <v>79</v>
      </c>
      <c r="N28" s="163"/>
      <c r="O28" s="144"/>
      <c r="P28" s="50">
        <v>1</v>
      </c>
      <c r="Q28" s="52" t="s">
        <v>80</v>
      </c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</row>
    <row r="29" spans="1:41" ht="24" customHeight="1">
      <c r="A29" s="47"/>
      <c r="B29" s="165"/>
      <c r="C29" s="163"/>
      <c r="D29" s="144"/>
      <c r="E29" s="165"/>
      <c r="F29" s="163"/>
      <c r="G29" s="144"/>
      <c r="H29" s="165"/>
      <c r="I29" s="163"/>
      <c r="J29" s="144"/>
      <c r="K29" s="164" t="s">
        <v>50</v>
      </c>
      <c r="L29" s="144"/>
      <c r="M29" s="165" t="s">
        <v>81</v>
      </c>
      <c r="N29" s="163"/>
      <c r="O29" s="144"/>
      <c r="P29" s="50">
        <v>1</v>
      </c>
      <c r="Q29" s="52" t="s">
        <v>82</v>
      </c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</row>
    <row r="30" spans="1:41" ht="24" customHeight="1">
      <c r="A30" s="47"/>
      <c r="B30" s="165"/>
      <c r="C30" s="163"/>
      <c r="D30" s="144"/>
      <c r="E30" s="165"/>
      <c r="F30" s="163"/>
      <c r="G30" s="144"/>
      <c r="H30" s="165"/>
      <c r="I30" s="163"/>
      <c r="J30" s="144"/>
      <c r="K30" s="164"/>
      <c r="L30" s="144"/>
      <c r="M30" s="165"/>
      <c r="N30" s="163"/>
      <c r="O30" s="144"/>
      <c r="P30" s="50"/>
      <c r="Q30" s="52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</row>
    <row r="31" spans="1:41" ht="24.75" customHeight="1">
      <c r="A31" s="47"/>
      <c r="B31" s="165"/>
      <c r="C31" s="163"/>
      <c r="D31" s="144"/>
      <c r="E31" s="165"/>
      <c r="F31" s="163"/>
      <c r="G31" s="144"/>
      <c r="H31" s="165"/>
      <c r="I31" s="163"/>
      <c r="J31" s="144"/>
      <c r="K31" s="164"/>
      <c r="L31" s="144"/>
      <c r="M31" s="165"/>
      <c r="N31" s="163"/>
      <c r="O31" s="144"/>
      <c r="P31" s="50"/>
      <c r="Q31" s="52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</row>
    <row r="32" spans="1:41" ht="24.75" customHeight="1">
      <c r="A32" s="47"/>
      <c r="B32" s="165" t="s">
        <v>83</v>
      </c>
      <c r="C32" s="163"/>
      <c r="D32" s="144"/>
      <c r="E32" s="165" t="s">
        <v>84</v>
      </c>
      <c r="F32" s="163"/>
      <c r="G32" s="144"/>
      <c r="H32" s="170" t="s">
        <v>85</v>
      </c>
      <c r="I32" s="163"/>
      <c r="J32" s="144"/>
      <c r="K32" s="164" t="s">
        <v>50</v>
      </c>
      <c r="L32" s="144"/>
      <c r="M32" s="165" t="s">
        <v>75</v>
      </c>
      <c r="N32" s="163"/>
      <c r="O32" s="144"/>
      <c r="P32" s="50">
        <v>1</v>
      </c>
      <c r="Q32" s="51" t="s">
        <v>76</v>
      </c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</row>
    <row r="33" spans="1:41" ht="24.75" customHeight="1">
      <c r="A33" s="47"/>
      <c r="B33" s="165"/>
      <c r="C33" s="163"/>
      <c r="D33" s="144"/>
      <c r="E33" s="165"/>
      <c r="F33" s="163"/>
      <c r="G33" s="144"/>
      <c r="H33" s="165"/>
      <c r="I33" s="163"/>
      <c r="J33" s="144"/>
      <c r="K33" s="164" t="s">
        <v>50</v>
      </c>
      <c r="L33" s="144"/>
      <c r="M33" s="165" t="s">
        <v>77</v>
      </c>
      <c r="N33" s="163"/>
      <c r="O33" s="144"/>
      <c r="P33" s="50">
        <v>1</v>
      </c>
      <c r="Q33" s="52" t="s">
        <v>78</v>
      </c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</row>
    <row r="34" spans="1:41" ht="24" customHeight="1">
      <c r="A34" s="47"/>
      <c r="B34" s="165"/>
      <c r="C34" s="163"/>
      <c r="D34" s="144"/>
      <c r="E34" s="165"/>
      <c r="F34" s="163"/>
      <c r="G34" s="144"/>
      <c r="H34" s="165"/>
      <c r="I34" s="163"/>
      <c r="J34" s="144"/>
      <c r="K34" s="164" t="s">
        <v>50</v>
      </c>
      <c r="L34" s="144"/>
      <c r="M34" s="165" t="s">
        <v>79</v>
      </c>
      <c r="N34" s="163"/>
      <c r="O34" s="144"/>
      <c r="P34" s="50">
        <v>1</v>
      </c>
      <c r="Q34" s="52" t="s">
        <v>80</v>
      </c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</row>
    <row r="35" spans="1:41" ht="24.75" customHeight="1">
      <c r="A35" s="47"/>
      <c r="B35" s="165"/>
      <c r="C35" s="163"/>
      <c r="D35" s="144"/>
      <c r="E35" s="165"/>
      <c r="F35" s="163"/>
      <c r="G35" s="144"/>
      <c r="H35" s="165"/>
      <c r="I35" s="163"/>
      <c r="J35" s="144"/>
      <c r="K35" s="164"/>
      <c r="L35" s="144"/>
      <c r="M35" s="165"/>
      <c r="N35" s="163"/>
      <c r="O35" s="144"/>
      <c r="P35" s="50"/>
      <c r="Q35" s="52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</row>
    <row r="36" spans="1:41" ht="24" customHeight="1">
      <c r="A36" s="47"/>
      <c r="B36" s="165"/>
      <c r="C36" s="163"/>
      <c r="D36" s="144"/>
      <c r="E36" s="165"/>
      <c r="F36" s="163"/>
      <c r="G36" s="144"/>
      <c r="H36" s="165"/>
      <c r="I36" s="163"/>
      <c r="J36" s="144"/>
      <c r="K36" s="164"/>
      <c r="L36" s="144"/>
      <c r="M36" s="165"/>
      <c r="N36" s="163"/>
      <c r="O36" s="144"/>
      <c r="P36" s="50"/>
      <c r="Q36" s="52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</row>
    <row r="37" spans="1:41" ht="24" customHeight="1">
      <c r="A37" s="47"/>
      <c r="B37" s="165"/>
      <c r="C37" s="163"/>
      <c r="D37" s="144"/>
      <c r="E37" s="165"/>
      <c r="F37" s="163"/>
      <c r="G37" s="144"/>
      <c r="H37" s="165"/>
      <c r="I37" s="163"/>
      <c r="J37" s="144"/>
      <c r="K37" s="164"/>
      <c r="L37" s="144"/>
      <c r="M37" s="165"/>
      <c r="N37" s="163"/>
      <c r="O37" s="144"/>
      <c r="P37" s="50"/>
      <c r="Q37" s="52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</row>
  </sheetData>
  <mergeCells count="126">
    <mergeCell ref="E37:G37"/>
    <mergeCell ref="B35:D35"/>
    <mergeCell ref="K23:L23"/>
    <mergeCell ref="H26:J26"/>
    <mergeCell ref="E21:G21"/>
    <mergeCell ref="B25:D25"/>
    <mergeCell ref="F6:H6"/>
    <mergeCell ref="E23:G23"/>
    <mergeCell ref="B22:D22"/>
    <mergeCell ref="H34:J34"/>
    <mergeCell ref="K18:L18"/>
    <mergeCell ref="K34:L34"/>
    <mergeCell ref="H36:J36"/>
    <mergeCell ref="B29:D29"/>
    <mergeCell ref="K36:L36"/>
    <mergeCell ref="K20:L20"/>
    <mergeCell ref="E27:G27"/>
    <mergeCell ref="H28:J28"/>
    <mergeCell ref="H37:J37"/>
    <mergeCell ref="B15:D15"/>
    <mergeCell ref="K22:L22"/>
    <mergeCell ref="E25:G25"/>
    <mergeCell ref="B24:D24"/>
    <mergeCell ref="B33:D33"/>
    <mergeCell ref="E36:G36"/>
    <mergeCell ref="M33:O33"/>
    <mergeCell ref="M17:O17"/>
    <mergeCell ref="B7:E7"/>
    <mergeCell ref="K31:L31"/>
    <mergeCell ref="H15:J15"/>
    <mergeCell ref="H24:J24"/>
    <mergeCell ref="M32:O32"/>
    <mergeCell ref="E22:G22"/>
    <mergeCell ref="M19:O19"/>
    <mergeCell ref="H18:J18"/>
    <mergeCell ref="M16:O16"/>
    <mergeCell ref="M27:O27"/>
    <mergeCell ref="M36:O36"/>
    <mergeCell ref="M18:O18"/>
    <mergeCell ref="B32:D32"/>
    <mergeCell ref="H23:J23"/>
    <mergeCell ref="B26:D26"/>
    <mergeCell ref="M34:O34"/>
    <mergeCell ref="B16:D16"/>
    <mergeCell ref="B27:D27"/>
    <mergeCell ref="B18:D18"/>
    <mergeCell ref="J7:M7"/>
    <mergeCell ref="E29:G29"/>
    <mergeCell ref="B3:G3"/>
    <mergeCell ref="E24:G24"/>
    <mergeCell ref="E33:G33"/>
    <mergeCell ref="B31:D31"/>
    <mergeCell ref="K19:L19"/>
    <mergeCell ref="E17:G17"/>
    <mergeCell ref="B21:D21"/>
    <mergeCell ref="M35:O35"/>
    <mergeCell ref="K16:L16"/>
    <mergeCell ref="K25:L25"/>
    <mergeCell ref="E19:G19"/>
    <mergeCell ref="B23:D23"/>
    <mergeCell ref="B6:E6"/>
    <mergeCell ref="E34:G34"/>
    <mergeCell ref="M25:O25"/>
    <mergeCell ref="M30:O30"/>
    <mergeCell ref="K29:L29"/>
    <mergeCell ref="H32:J32"/>
    <mergeCell ref="J6:M6"/>
    <mergeCell ref="H25:J25"/>
    <mergeCell ref="F7:H7"/>
    <mergeCell ref="M20:O20"/>
    <mergeCell ref="E20:G20"/>
    <mergeCell ref="H21:J21"/>
    <mergeCell ref="K30:L30"/>
    <mergeCell ref="E28:G28"/>
    <mergeCell ref="K15:L15"/>
    <mergeCell ref="M22:O22"/>
    <mergeCell ref="B17:D17"/>
    <mergeCell ref="E30:G30"/>
    <mergeCell ref="M15:O15"/>
    <mergeCell ref="K21:L21"/>
    <mergeCell ref="M28:O28"/>
    <mergeCell ref="H16:J16"/>
    <mergeCell ref="B19:D19"/>
    <mergeCell ref="B11:C11"/>
    <mergeCell ref="D11:E11"/>
    <mergeCell ref="H27:J27"/>
    <mergeCell ref="M26:O26"/>
    <mergeCell ref="M29:O29"/>
    <mergeCell ref="M23:O23"/>
    <mergeCell ref="K27:L27"/>
    <mergeCell ref="F11:H11"/>
    <mergeCell ref="K17:L17"/>
    <mergeCell ref="K35:L35"/>
    <mergeCell ref="B37:D37"/>
    <mergeCell ref="H22:J22"/>
    <mergeCell ref="H19:J19"/>
    <mergeCell ref="E26:G26"/>
    <mergeCell ref="B30:D30"/>
    <mergeCell ref="B9:P9"/>
    <mergeCell ref="M24:O24"/>
    <mergeCell ref="B20:D20"/>
    <mergeCell ref="E16:G16"/>
    <mergeCell ref="H30:J30"/>
    <mergeCell ref="E18:G18"/>
    <mergeCell ref="H29:J29"/>
    <mergeCell ref="K28:L28"/>
    <mergeCell ref="H31:J31"/>
    <mergeCell ref="K37:L37"/>
    <mergeCell ref="E35:G35"/>
    <mergeCell ref="M31:O31"/>
    <mergeCell ref="M37:O37"/>
    <mergeCell ref="K32:L32"/>
    <mergeCell ref="H33:J33"/>
    <mergeCell ref="E32:G32"/>
    <mergeCell ref="B36:D36"/>
    <mergeCell ref="H35:J35"/>
    <mergeCell ref="K24:L24"/>
    <mergeCell ref="K33:L33"/>
    <mergeCell ref="E31:G31"/>
    <mergeCell ref="H17:J17"/>
    <mergeCell ref="E15:G15"/>
    <mergeCell ref="M21:O21"/>
    <mergeCell ref="K26:L26"/>
    <mergeCell ref="B34:D34"/>
    <mergeCell ref="B28:D28"/>
    <mergeCell ref="H20:J20"/>
  </mergeCells>
  <phoneticPr fontId="63" type="noConversion"/>
  <conditionalFormatting sqref="K16:L37">
    <cfRule type="containsText" dxfId="0" priority="2" operator="containsText" text="替代料">
      <formula>NOT(ISERROR(SEARCH("替代料",K16)))</formula>
    </cfRule>
  </conditionalFormatting>
  <pageMargins left="0.7" right="0.7" top="0.75" bottom="0.75" header="0.3" footer="0.3"/>
  <pageSetup paperSize="9" orientation="portrait" horizontalDpi="300" verticalDpi="300"/>
  <headerFooter>
    <oddHeader>&amp;L&amp;"Aptos"&amp;10&amp;KFF0000 ASUS_Confidential&amp;1#_x000D_&amp;"新細明體"&amp;12&amp;K000000&amp;"新細明體"&amp;12&amp;K000000&amp;"Aptos,Regular"&amp;1 &amp;K0000ff ASUS_General#_x000D_</oddHeader>
    <oddFooter>&amp;L&amp;"Aptos,Regular"&amp;10 &amp;K0000ff_x000D_# ASUS_General_x000D_&amp;1#&amp;"Aptos"&amp;10&amp;KFF0000 ASUS_Confidential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409"/>
  <sheetViews>
    <sheetView tabSelected="1" topLeftCell="A19" zoomScaleNormal="100" workbookViewId="0">
      <selection activeCell="V27" sqref="V27"/>
    </sheetView>
  </sheetViews>
  <sheetFormatPr defaultColWidth="8.44140625" defaultRowHeight="16.2"/>
  <cols>
    <col min="1" max="1" width="1.44140625" style="47" customWidth="1"/>
    <col min="2" max="4" width="8.44140625" style="53" customWidth="1"/>
    <col min="5" max="8" width="7.109375" style="53" customWidth="1"/>
    <col min="9" max="9" width="11.88671875" style="53" customWidth="1"/>
    <col min="10" max="11" width="7.109375" style="53" customWidth="1"/>
    <col min="12" max="13" width="10.6640625" style="53" customWidth="1"/>
    <col min="14" max="14" width="15.109375" style="53" customWidth="1"/>
    <col min="15" max="16" width="8.6640625" style="53" customWidth="1"/>
    <col min="17" max="17" width="9.109375" style="47" customWidth="1"/>
    <col min="18" max="18" width="7.77734375" style="47" customWidth="1"/>
    <col min="19" max="23" width="6.6640625" style="53" customWidth="1"/>
    <col min="24" max="24" width="9.109375" style="47" customWidth="1"/>
    <col min="25" max="25" width="7.77734375" style="47" customWidth="1"/>
    <col min="26" max="26" width="9" style="47" customWidth="1"/>
    <col min="27" max="27" width="16.33203125" style="47" customWidth="1"/>
    <col min="28" max="52" width="9" style="47" customWidth="1"/>
  </cols>
  <sheetData>
    <row r="1" spans="2:52" s="47" customFormat="1" ht="16.5" customHeight="1"/>
    <row r="2" spans="2:52" s="47" customFormat="1" ht="24.75" customHeight="1">
      <c r="B2" s="192" t="s">
        <v>86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</row>
    <row r="3" spans="2:52" s="47" customFormat="1" ht="24.75" customHeight="1">
      <c r="B3" s="208" t="s">
        <v>87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</row>
    <row r="4" spans="2:52" s="47" customFormat="1" ht="12" customHeight="1"/>
    <row r="5" spans="2:52" ht="28.5" customHeight="1">
      <c r="B5" s="205" t="s">
        <v>88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7"/>
      <c r="S5" s="47"/>
      <c r="T5" s="47"/>
      <c r="U5" s="47"/>
      <c r="V5" s="47"/>
      <c r="W5" s="47"/>
    </row>
    <row r="6" spans="2:52" ht="15.75" customHeight="1">
      <c r="B6" s="54">
        <v>1</v>
      </c>
      <c r="C6" s="55">
        <v>2</v>
      </c>
      <c r="D6" s="55">
        <v>3</v>
      </c>
      <c r="E6" s="55">
        <v>4</v>
      </c>
      <c r="F6" s="55">
        <v>5</v>
      </c>
      <c r="G6" s="55">
        <v>6</v>
      </c>
      <c r="H6" s="55">
        <v>7</v>
      </c>
      <c r="I6" s="55">
        <v>8</v>
      </c>
      <c r="J6" s="55">
        <v>9</v>
      </c>
      <c r="K6" s="55">
        <v>10</v>
      </c>
      <c r="L6" s="55">
        <v>11</v>
      </c>
      <c r="M6" s="55">
        <v>12</v>
      </c>
      <c r="N6" s="55">
        <v>13</v>
      </c>
      <c r="O6" s="55">
        <v>14</v>
      </c>
      <c r="P6" s="56">
        <v>15</v>
      </c>
      <c r="S6" s="47"/>
      <c r="T6" s="47"/>
      <c r="U6" s="47"/>
      <c r="V6" s="47"/>
      <c r="W6" s="47"/>
    </row>
    <row r="7" spans="2:52" ht="21.75" customHeight="1">
      <c r="B7" s="194" t="s">
        <v>11</v>
      </c>
      <c r="C7" s="144"/>
      <c r="D7" s="203" t="s">
        <v>12</v>
      </c>
      <c r="E7" s="144"/>
      <c r="F7" s="203" t="s">
        <v>13</v>
      </c>
      <c r="G7" s="163"/>
      <c r="H7" s="144"/>
      <c r="I7" s="57" t="s">
        <v>89</v>
      </c>
      <c r="J7" s="58" t="s">
        <v>15</v>
      </c>
      <c r="K7" s="58" t="s">
        <v>16</v>
      </c>
      <c r="L7" s="57" t="s">
        <v>90</v>
      </c>
      <c r="M7" s="58" t="s">
        <v>91</v>
      </c>
      <c r="N7" s="58" t="s">
        <v>92</v>
      </c>
      <c r="O7" s="58" t="s">
        <v>20</v>
      </c>
      <c r="P7" s="59" t="s">
        <v>21</v>
      </c>
      <c r="S7" s="47"/>
      <c r="T7" s="47"/>
      <c r="U7" s="47"/>
      <c r="V7" s="47"/>
      <c r="W7" s="47"/>
    </row>
    <row r="8" spans="2:52" ht="26.25" customHeight="1">
      <c r="B8" s="40">
        <v>8</v>
      </c>
      <c r="C8" s="41">
        <v>0</v>
      </c>
      <c r="D8" s="41" t="s">
        <v>25</v>
      </c>
      <c r="E8" s="41" t="s">
        <v>26</v>
      </c>
      <c r="F8" s="60">
        <f>'90編碼原則'!L5</f>
        <v>0</v>
      </c>
      <c r="G8" s="60" t="str">
        <f>'90編碼原則'!M5</f>
        <v>A</v>
      </c>
      <c r="H8" s="60" t="str">
        <f>'90編碼原則'!N5</f>
        <v>T</v>
      </c>
      <c r="I8" s="61"/>
      <c r="J8" s="62" t="s">
        <v>15</v>
      </c>
      <c r="K8" s="43" t="s">
        <v>30</v>
      </c>
      <c r="L8" s="61"/>
      <c r="M8" s="61"/>
      <c r="N8" s="61"/>
      <c r="O8" s="61"/>
      <c r="P8" s="63"/>
      <c r="S8" s="47"/>
      <c r="T8" s="47"/>
      <c r="U8" s="47"/>
      <c r="V8" s="47"/>
      <c r="W8" s="47"/>
    </row>
    <row r="9" spans="2:52" ht="15.75" customHeight="1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S9" s="47"/>
      <c r="T9" s="47"/>
      <c r="U9" s="47"/>
      <c r="V9" s="47"/>
      <c r="W9" s="47"/>
    </row>
    <row r="10" spans="2:52" ht="15.75" customHeight="1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S10" s="47"/>
      <c r="T10" s="47"/>
      <c r="U10" s="47"/>
      <c r="V10" s="47"/>
      <c r="W10" s="47"/>
    </row>
    <row r="11" spans="2:52" ht="24.75" customHeight="1">
      <c r="B11" s="185" t="s">
        <v>93</v>
      </c>
      <c r="C11" s="186"/>
      <c r="D11" s="186"/>
      <c r="E11" s="190" t="s">
        <v>94</v>
      </c>
      <c r="F11" s="191"/>
      <c r="G11" s="191"/>
      <c r="H11" s="191"/>
      <c r="I11" s="191"/>
      <c r="J11" s="191"/>
      <c r="K11" s="191"/>
      <c r="L11" s="191"/>
      <c r="M11" s="191"/>
      <c r="N11" s="191"/>
      <c r="O11" s="64" t="s">
        <v>95</v>
      </c>
      <c r="P11" s="65"/>
      <c r="Q11" s="65"/>
      <c r="R11" s="65"/>
      <c r="S11" s="65"/>
      <c r="T11" s="47"/>
      <c r="U11" s="47"/>
      <c r="V11" s="47"/>
      <c r="W11" s="47"/>
      <c r="AU11"/>
      <c r="AV11"/>
      <c r="AW11"/>
      <c r="AX11"/>
      <c r="AY11"/>
      <c r="AZ11"/>
    </row>
    <row r="12" spans="2:52" ht="24.75" customHeight="1">
      <c r="B12" s="209"/>
      <c r="C12" s="182"/>
      <c r="D12" s="183"/>
      <c r="E12" s="200"/>
      <c r="F12" s="182"/>
      <c r="G12" s="182"/>
      <c r="H12" s="182"/>
      <c r="I12" s="182"/>
      <c r="J12" s="182"/>
      <c r="K12" s="182"/>
      <c r="L12" s="182"/>
      <c r="M12" s="182"/>
      <c r="N12" s="183"/>
      <c r="O12" s="195"/>
      <c r="P12" s="182"/>
      <c r="Q12" s="182"/>
      <c r="R12" s="182"/>
      <c r="S12" s="183"/>
      <c r="T12" s="47"/>
      <c r="U12" s="47"/>
      <c r="V12" s="47"/>
      <c r="W12" s="47"/>
      <c r="AU12"/>
      <c r="AV12"/>
      <c r="AW12"/>
      <c r="AX12"/>
      <c r="AY12"/>
      <c r="AZ12"/>
    </row>
    <row r="13" spans="2:52" ht="24.75" customHeight="1">
      <c r="B13" s="188" t="s">
        <v>96</v>
      </c>
      <c r="C13" s="182"/>
      <c r="D13" s="183"/>
      <c r="E13" s="202" t="s">
        <v>97</v>
      </c>
      <c r="F13" s="182"/>
      <c r="G13" s="182"/>
      <c r="H13" s="182"/>
      <c r="I13" s="182"/>
      <c r="J13" s="182"/>
      <c r="K13" s="182"/>
      <c r="L13" s="182"/>
      <c r="M13" s="182"/>
      <c r="N13" s="182"/>
      <c r="O13" s="195"/>
      <c r="P13" s="182"/>
      <c r="Q13" s="182"/>
      <c r="R13" s="182"/>
      <c r="S13" s="183"/>
      <c r="T13" s="47"/>
      <c r="U13" s="47"/>
      <c r="V13" s="47"/>
      <c r="W13" s="47"/>
      <c r="AU13"/>
      <c r="AV13"/>
      <c r="AW13"/>
      <c r="AX13"/>
      <c r="AY13"/>
      <c r="AZ13"/>
    </row>
    <row r="14" spans="2:52" ht="24.75" customHeight="1">
      <c r="B14" s="188" t="s">
        <v>98</v>
      </c>
      <c r="C14" s="182"/>
      <c r="D14" s="183"/>
      <c r="E14" s="202"/>
      <c r="F14" s="182"/>
      <c r="G14" s="182"/>
      <c r="H14" s="182"/>
      <c r="I14" s="182"/>
      <c r="J14" s="182"/>
      <c r="K14" s="182"/>
      <c r="L14" s="182"/>
      <c r="M14" s="182"/>
      <c r="N14" s="182"/>
      <c r="O14" s="195"/>
      <c r="P14" s="182"/>
      <c r="Q14" s="182"/>
      <c r="R14" s="182"/>
      <c r="S14" s="183"/>
      <c r="T14" s="47"/>
      <c r="U14" s="47"/>
      <c r="V14" s="47"/>
      <c r="W14" s="47"/>
    </row>
    <row r="15" spans="2:52" ht="24.75" customHeight="1">
      <c r="B15" s="188"/>
      <c r="C15" s="182"/>
      <c r="D15" s="183"/>
      <c r="E15" s="202"/>
      <c r="F15" s="182"/>
      <c r="G15" s="182"/>
      <c r="H15" s="182"/>
      <c r="I15" s="182"/>
      <c r="J15" s="182"/>
      <c r="K15" s="182"/>
      <c r="L15" s="182"/>
      <c r="M15" s="182"/>
      <c r="N15" s="182"/>
      <c r="O15" s="195"/>
      <c r="P15" s="182"/>
      <c r="Q15" s="182"/>
      <c r="R15" s="182"/>
      <c r="S15" s="183"/>
      <c r="T15" s="47"/>
      <c r="U15" s="47"/>
      <c r="V15" s="47"/>
      <c r="W15" s="47"/>
    </row>
    <row r="16" spans="2:52" ht="15.75" customHeight="1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S16" s="47"/>
      <c r="T16" s="47"/>
      <c r="U16" s="47"/>
      <c r="V16" s="47"/>
      <c r="W16" s="47"/>
    </row>
    <row r="17" spans="2:52" ht="15.75" customHeight="1"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S17" s="47"/>
      <c r="T17" s="47"/>
      <c r="U17" s="47"/>
      <c r="V17" s="47"/>
      <c r="W17" s="47"/>
    </row>
    <row r="18" spans="2:52" ht="24.75" customHeight="1">
      <c r="B18" s="210" t="s">
        <v>55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93"/>
      <c r="R18" s="193"/>
      <c r="S18" s="186"/>
      <c r="T18" s="47"/>
      <c r="U18" s="47"/>
      <c r="V18" s="47"/>
      <c r="W18" s="47"/>
      <c r="AY18"/>
      <c r="AZ18"/>
    </row>
    <row r="19" spans="2:52" s="47" customFormat="1" ht="19.5" customHeight="1">
      <c r="B19" s="66"/>
      <c r="C19" s="66"/>
    </row>
    <row r="20" spans="2:52" ht="19.5" customHeight="1">
      <c r="B20" s="207" t="s">
        <v>99</v>
      </c>
      <c r="C20" s="186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S20" s="47"/>
      <c r="T20" s="47"/>
      <c r="U20" s="47"/>
      <c r="V20" s="47"/>
      <c r="W20" s="47"/>
    </row>
    <row r="21" spans="2:52" ht="16.5" customHeight="1">
      <c r="B21" s="198" t="s">
        <v>93</v>
      </c>
      <c r="C21" s="186"/>
      <c r="D21" s="186"/>
      <c r="E21" s="67" t="s">
        <v>94</v>
      </c>
      <c r="F21" s="67"/>
      <c r="G21" s="67"/>
      <c r="H21" s="67"/>
      <c r="I21" s="67"/>
      <c r="J21" s="67"/>
      <c r="K21" s="67"/>
      <c r="L21" s="68"/>
      <c r="M21" s="69" t="s">
        <v>95</v>
      </c>
      <c r="N21" s="70"/>
      <c r="O21" s="70"/>
      <c r="P21" s="70"/>
      <c r="R21" s="70"/>
      <c r="S21" s="70"/>
      <c r="T21" s="70"/>
      <c r="U21" s="70"/>
      <c r="V21" s="70"/>
      <c r="W21" s="70"/>
      <c r="AY21"/>
      <c r="AZ21"/>
    </row>
    <row r="22" spans="2:52" ht="24.75" customHeight="1">
      <c r="B22" s="196" t="s">
        <v>100</v>
      </c>
      <c r="C22" s="182"/>
      <c r="D22" s="183"/>
      <c r="E22" s="199" t="s">
        <v>101</v>
      </c>
      <c r="F22" s="182"/>
      <c r="G22" s="182"/>
      <c r="H22" s="182"/>
      <c r="I22" s="182"/>
      <c r="J22" s="182"/>
      <c r="K22" s="182"/>
      <c r="L22" s="182"/>
      <c r="M22" s="181" t="s">
        <v>102</v>
      </c>
      <c r="N22" s="182"/>
      <c r="O22" s="182"/>
      <c r="P22" s="182"/>
      <c r="Q22" s="182"/>
      <c r="R22" s="182"/>
      <c r="S22" s="183"/>
      <c r="T22" s="47"/>
      <c r="U22" s="47"/>
      <c r="V22" s="47"/>
      <c r="W22" s="47"/>
      <c r="AU22"/>
      <c r="AV22"/>
      <c r="AW22"/>
      <c r="AX22"/>
      <c r="AY22"/>
      <c r="AZ22"/>
    </row>
    <row r="23" spans="2:52" ht="24.75" customHeight="1">
      <c r="B23" s="187" t="s">
        <v>103</v>
      </c>
      <c r="C23" s="182"/>
      <c r="D23" s="183"/>
      <c r="E23" s="184" t="s">
        <v>104</v>
      </c>
      <c r="F23" s="182"/>
      <c r="G23" s="182"/>
      <c r="H23" s="182"/>
      <c r="I23" s="182"/>
      <c r="J23" s="182"/>
      <c r="K23" s="182"/>
      <c r="L23" s="182"/>
      <c r="M23" s="181" t="s">
        <v>105</v>
      </c>
      <c r="N23" s="182"/>
      <c r="O23" s="182"/>
      <c r="P23" s="182"/>
      <c r="Q23" s="182"/>
      <c r="R23" s="182"/>
      <c r="S23" s="183"/>
      <c r="T23" s="47"/>
      <c r="U23" s="47"/>
      <c r="V23" s="47"/>
      <c r="W23" s="47"/>
      <c r="AU23"/>
      <c r="AV23"/>
      <c r="AW23"/>
      <c r="AX23"/>
      <c r="AY23"/>
      <c r="AZ23"/>
    </row>
    <row r="24" spans="2:52" ht="24.75" customHeight="1">
      <c r="B24" s="187" t="s">
        <v>106</v>
      </c>
      <c r="C24" s="182"/>
      <c r="D24" s="183"/>
      <c r="E24" s="184" t="s">
        <v>107</v>
      </c>
      <c r="F24" s="182"/>
      <c r="G24" s="182"/>
      <c r="H24" s="182"/>
      <c r="I24" s="182"/>
      <c r="J24" s="182"/>
      <c r="K24" s="182"/>
      <c r="L24" s="182"/>
      <c r="M24" s="181" t="s">
        <v>108</v>
      </c>
      <c r="N24" s="182"/>
      <c r="O24" s="182"/>
      <c r="P24" s="182"/>
      <c r="Q24" s="182"/>
      <c r="R24" s="182"/>
      <c r="S24" s="183"/>
      <c r="T24" s="47"/>
      <c r="U24" s="47"/>
      <c r="V24" s="47"/>
      <c r="W24" s="47"/>
      <c r="AU24"/>
      <c r="AV24"/>
      <c r="AW24"/>
      <c r="AX24"/>
      <c r="AY24"/>
      <c r="AZ24"/>
    </row>
    <row r="25" spans="2:52" ht="15.75" customHeight="1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S25" s="47"/>
      <c r="T25" s="47"/>
      <c r="U25" s="47"/>
      <c r="V25" s="47"/>
      <c r="W25" s="47"/>
      <c r="AW25"/>
      <c r="AX25"/>
      <c r="AY25"/>
      <c r="AZ25"/>
    </row>
    <row r="26" spans="2:52" ht="15.75" customHeight="1"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S26" s="47"/>
      <c r="T26" s="47"/>
      <c r="U26" s="47"/>
      <c r="V26" s="47"/>
      <c r="W26" s="47"/>
      <c r="AW26"/>
      <c r="AX26"/>
      <c r="AY26"/>
      <c r="AZ26"/>
    </row>
    <row r="27" spans="2:52" ht="19.5" customHeight="1">
      <c r="B27" s="197" t="s">
        <v>109</v>
      </c>
      <c r="C27" s="186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S27" s="47"/>
      <c r="T27" s="47"/>
      <c r="U27" s="47"/>
      <c r="V27" s="47"/>
      <c r="W27" s="47"/>
      <c r="AW27"/>
      <c r="AX27"/>
      <c r="AY27"/>
      <c r="AZ27"/>
    </row>
    <row r="28" spans="2:52" ht="16.5" customHeight="1">
      <c r="B28" s="198" t="s">
        <v>93</v>
      </c>
      <c r="C28" s="186"/>
      <c r="D28" s="186"/>
      <c r="E28" s="67" t="s">
        <v>94</v>
      </c>
      <c r="F28" s="67"/>
      <c r="G28" s="67"/>
      <c r="H28" s="67"/>
      <c r="I28" s="67"/>
      <c r="J28" s="67"/>
      <c r="K28" s="67"/>
      <c r="L28" s="69"/>
      <c r="M28" s="69" t="s">
        <v>95</v>
      </c>
      <c r="N28" s="70"/>
      <c r="O28" s="70"/>
      <c r="P28" s="70"/>
      <c r="Q28" s="70"/>
      <c r="R28" s="70"/>
      <c r="S28" s="70"/>
      <c r="T28" s="47"/>
      <c r="U28" s="47"/>
      <c r="V28" s="47"/>
      <c r="W28" s="47"/>
      <c r="AU28"/>
      <c r="AV28"/>
      <c r="AW28"/>
      <c r="AX28"/>
      <c r="AY28"/>
      <c r="AZ28"/>
    </row>
    <row r="29" spans="2:52" ht="24.75" customHeight="1">
      <c r="B29" s="196" t="s">
        <v>100</v>
      </c>
      <c r="C29" s="182"/>
      <c r="D29" s="183"/>
      <c r="E29" s="199" t="s">
        <v>110</v>
      </c>
      <c r="F29" s="182"/>
      <c r="G29" s="182"/>
      <c r="H29" s="182"/>
      <c r="I29" s="182"/>
      <c r="J29" s="182"/>
      <c r="K29" s="182"/>
      <c r="L29" s="182"/>
      <c r="M29" s="181" t="s">
        <v>102</v>
      </c>
      <c r="N29" s="182"/>
      <c r="O29" s="182"/>
      <c r="P29" s="182"/>
      <c r="Q29" s="182"/>
      <c r="R29" s="182"/>
      <c r="S29" s="183"/>
      <c r="T29" s="47"/>
      <c r="U29" s="47"/>
      <c r="V29" s="47"/>
      <c r="W29" s="47"/>
      <c r="AU29"/>
      <c r="AV29"/>
      <c r="AW29"/>
      <c r="AX29"/>
      <c r="AY29"/>
      <c r="AZ29"/>
    </row>
    <row r="30" spans="2:52" ht="24.75" customHeight="1">
      <c r="B30" s="187" t="s">
        <v>111</v>
      </c>
      <c r="C30" s="182"/>
      <c r="D30" s="183"/>
      <c r="E30" s="201" t="s">
        <v>112</v>
      </c>
      <c r="F30" s="182"/>
      <c r="G30" s="182"/>
      <c r="H30" s="182"/>
      <c r="I30" s="182"/>
      <c r="J30" s="182"/>
      <c r="K30" s="182"/>
      <c r="L30" s="182"/>
      <c r="M30" s="206" t="s">
        <v>113</v>
      </c>
      <c r="N30" s="182"/>
      <c r="O30" s="182"/>
      <c r="P30" s="182"/>
      <c r="Q30" s="182"/>
      <c r="R30" s="182"/>
      <c r="S30" s="183"/>
      <c r="T30" s="47"/>
      <c r="U30" s="47"/>
      <c r="V30" s="47"/>
      <c r="W30" s="47"/>
      <c r="AU30"/>
      <c r="AV30"/>
      <c r="AW30"/>
      <c r="AX30"/>
      <c r="AY30"/>
      <c r="AZ30"/>
    </row>
    <row r="31" spans="2:52" ht="24.75" customHeight="1">
      <c r="B31" s="187" t="s">
        <v>114</v>
      </c>
      <c r="C31" s="182"/>
      <c r="D31" s="183"/>
      <c r="E31" s="201" t="s">
        <v>115</v>
      </c>
      <c r="F31" s="182"/>
      <c r="G31" s="182"/>
      <c r="H31" s="182"/>
      <c r="I31" s="182"/>
      <c r="J31" s="182"/>
      <c r="K31" s="182"/>
      <c r="L31" s="182"/>
      <c r="M31" s="206" t="s">
        <v>116</v>
      </c>
      <c r="N31" s="182"/>
      <c r="O31" s="182"/>
      <c r="P31" s="182"/>
      <c r="Q31" s="182"/>
      <c r="R31" s="182"/>
      <c r="S31" s="183"/>
      <c r="T31" s="47"/>
      <c r="U31" s="47"/>
      <c r="V31" s="47"/>
      <c r="W31" s="47"/>
      <c r="AU31"/>
      <c r="AV31"/>
      <c r="AW31"/>
      <c r="AX31"/>
      <c r="AY31"/>
      <c r="AZ31"/>
    </row>
    <row r="32" spans="2:52" ht="15.75" customHeight="1"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S32" s="47"/>
      <c r="T32" s="47"/>
      <c r="U32" s="47"/>
      <c r="V32" s="47"/>
      <c r="W32" s="47"/>
      <c r="AW32"/>
      <c r="AX32"/>
      <c r="AY32"/>
      <c r="AZ32"/>
    </row>
    <row r="33" spans="2:52" ht="15.75" customHeight="1"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S33" s="47"/>
      <c r="T33" s="47"/>
      <c r="U33" s="47"/>
      <c r="V33" s="47"/>
      <c r="W33" s="47"/>
      <c r="AW33"/>
      <c r="AX33"/>
      <c r="AY33"/>
      <c r="AZ33"/>
    </row>
    <row r="34" spans="2:52" ht="19.5" customHeight="1">
      <c r="B34" s="204" t="s">
        <v>117</v>
      </c>
      <c r="C34" s="186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S34" s="47"/>
      <c r="T34" s="47"/>
      <c r="U34" s="47"/>
      <c r="V34" s="47"/>
      <c r="W34" s="47"/>
      <c r="AW34"/>
      <c r="AX34"/>
      <c r="AY34"/>
      <c r="AZ34"/>
    </row>
    <row r="35" spans="2:52" ht="16.5" customHeight="1">
      <c r="B35" s="198" t="s">
        <v>93</v>
      </c>
      <c r="C35" s="186"/>
      <c r="D35" s="186"/>
      <c r="E35" s="67" t="s">
        <v>94</v>
      </c>
      <c r="F35" s="67"/>
      <c r="G35" s="67"/>
      <c r="H35" s="67"/>
      <c r="I35" s="67"/>
      <c r="J35" s="67"/>
      <c r="K35" s="67"/>
      <c r="L35" s="69"/>
      <c r="M35" s="69" t="s">
        <v>95</v>
      </c>
      <c r="N35" s="70"/>
      <c r="O35" s="70"/>
      <c r="P35" s="70"/>
      <c r="Q35" s="70"/>
      <c r="R35" s="70"/>
      <c r="S35" s="70"/>
      <c r="T35" s="47"/>
      <c r="U35" s="47"/>
      <c r="V35" s="47"/>
      <c r="W35" s="47"/>
      <c r="AU35"/>
      <c r="AV35"/>
      <c r="AW35"/>
      <c r="AX35"/>
      <c r="AY35"/>
      <c r="AZ35"/>
    </row>
    <row r="36" spans="2:52" ht="24.75" customHeight="1">
      <c r="B36" s="196" t="s">
        <v>118</v>
      </c>
      <c r="C36" s="182"/>
      <c r="D36" s="183"/>
      <c r="E36" s="199" t="s">
        <v>119</v>
      </c>
      <c r="F36" s="182"/>
      <c r="G36" s="182"/>
      <c r="H36" s="182"/>
      <c r="I36" s="182"/>
      <c r="J36" s="182"/>
      <c r="K36" s="182"/>
      <c r="L36" s="182"/>
      <c r="M36" s="181" t="s">
        <v>120</v>
      </c>
      <c r="N36" s="182"/>
      <c r="O36" s="182"/>
      <c r="P36" s="182"/>
      <c r="Q36" s="182"/>
      <c r="R36" s="182"/>
      <c r="S36" s="183"/>
      <c r="T36" s="47"/>
      <c r="U36" s="47"/>
      <c r="V36" s="47"/>
      <c r="W36" s="47"/>
      <c r="AU36"/>
      <c r="AV36"/>
      <c r="AW36"/>
      <c r="AX36"/>
      <c r="AY36"/>
      <c r="AZ36"/>
    </row>
    <row r="37" spans="2:52" ht="24.75" customHeight="1">
      <c r="B37" s="187" t="s">
        <v>121</v>
      </c>
      <c r="C37" s="182"/>
      <c r="D37" s="183"/>
      <c r="E37" s="184" t="s">
        <v>122</v>
      </c>
      <c r="F37" s="182"/>
      <c r="G37" s="182"/>
      <c r="H37" s="182"/>
      <c r="I37" s="182"/>
      <c r="J37" s="182"/>
      <c r="K37" s="182"/>
      <c r="L37" s="182"/>
      <c r="M37" s="181"/>
      <c r="N37" s="182"/>
      <c r="O37" s="182"/>
      <c r="P37" s="182"/>
      <c r="Q37" s="182"/>
      <c r="R37" s="182"/>
      <c r="S37" s="183"/>
      <c r="T37" s="47"/>
      <c r="U37" s="47"/>
      <c r="V37" s="47"/>
      <c r="W37" s="47"/>
      <c r="AU37"/>
      <c r="AV37"/>
      <c r="AW37"/>
      <c r="AX37"/>
      <c r="AY37"/>
      <c r="AZ37"/>
    </row>
    <row r="38" spans="2:52" ht="24.75" customHeight="1">
      <c r="B38" s="187" t="s">
        <v>123</v>
      </c>
      <c r="C38" s="182"/>
      <c r="D38" s="183"/>
      <c r="E38" s="184" t="s">
        <v>124</v>
      </c>
      <c r="F38" s="182"/>
      <c r="G38" s="182"/>
      <c r="H38" s="182"/>
      <c r="I38" s="182"/>
      <c r="J38" s="182"/>
      <c r="K38" s="182"/>
      <c r="L38" s="182"/>
      <c r="M38" s="181"/>
      <c r="N38" s="182"/>
      <c r="O38" s="182"/>
      <c r="P38" s="182"/>
      <c r="Q38" s="182"/>
      <c r="R38" s="182"/>
      <c r="S38" s="183"/>
      <c r="T38" s="47"/>
      <c r="U38" s="47"/>
      <c r="V38" s="47"/>
      <c r="W38" s="47"/>
      <c r="AU38"/>
      <c r="AV38"/>
      <c r="AW38"/>
      <c r="AX38"/>
      <c r="AY38"/>
      <c r="AZ38"/>
    </row>
    <row r="39" spans="2:52" ht="24.75" customHeight="1">
      <c r="B39" s="187" t="s">
        <v>125</v>
      </c>
      <c r="C39" s="182"/>
      <c r="D39" s="183"/>
      <c r="E39" s="184" t="s">
        <v>126</v>
      </c>
      <c r="F39" s="182"/>
      <c r="G39" s="182"/>
      <c r="H39" s="182"/>
      <c r="I39" s="182"/>
      <c r="J39" s="182"/>
      <c r="K39" s="182"/>
      <c r="L39" s="182"/>
      <c r="M39" s="181"/>
      <c r="N39" s="182"/>
      <c r="O39" s="182"/>
      <c r="P39" s="182"/>
      <c r="Q39" s="182"/>
      <c r="R39" s="182"/>
      <c r="S39" s="183"/>
      <c r="T39" s="47"/>
      <c r="U39" s="47"/>
      <c r="V39" s="47"/>
      <c r="W39" s="47"/>
      <c r="AU39"/>
      <c r="AV39"/>
      <c r="AW39"/>
      <c r="AX39"/>
      <c r="AY39"/>
      <c r="AZ39"/>
    </row>
    <row r="40" spans="2:52" ht="30" customHeight="1"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S40" s="47"/>
      <c r="T40" s="47"/>
      <c r="U40" s="47"/>
      <c r="V40" s="47"/>
      <c r="W40" s="47"/>
      <c r="AW40"/>
      <c r="AX40"/>
      <c r="AY40"/>
      <c r="AZ40"/>
    </row>
    <row r="41" spans="2:52" ht="24.75" customHeight="1">
      <c r="B41" s="196" t="s">
        <v>127</v>
      </c>
      <c r="C41" s="182"/>
      <c r="D41" s="183"/>
      <c r="E41" s="199" t="s">
        <v>128</v>
      </c>
      <c r="F41" s="182"/>
      <c r="G41" s="182"/>
      <c r="H41" s="182"/>
      <c r="I41" s="182"/>
      <c r="J41" s="182"/>
      <c r="K41" s="182"/>
      <c r="L41" s="182"/>
      <c r="M41" s="189" t="s">
        <v>129</v>
      </c>
      <c r="N41" s="182"/>
      <c r="O41" s="182"/>
      <c r="P41" s="182"/>
      <c r="Q41" s="182"/>
      <c r="R41" s="182"/>
      <c r="S41" s="183"/>
      <c r="T41" s="47"/>
      <c r="U41" s="47"/>
      <c r="V41" s="47"/>
      <c r="W41" s="47"/>
      <c r="AU41"/>
      <c r="AV41"/>
      <c r="AW41"/>
      <c r="AX41"/>
      <c r="AY41"/>
      <c r="AZ41"/>
    </row>
    <row r="42" spans="2:52" ht="24.75" customHeight="1">
      <c r="B42" s="187" t="s">
        <v>130</v>
      </c>
      <c r="C42" s="182"/>
      <c r="D42" s="183"/>
      <c r="E42" s="184" t="s">
        <v>131</v>
      </c>
      <c r="F42" s="182"/>
      <c r="G42" s="182"/>
      <c r="H42" s="182"/>
      <c r="I42" s="182"/>
      <c r="J42" s="182"/>
      <c r="K42" s="182"/>
      <c r="L42" s="182"/>
      <c r="M42" s="181"/>
      <c r="N42" s="182"/>
      <c r="O42" s="182"/>
      <c r="P42" s="182"/>
      <c r="Q42" s="182"/>
      <c r="R42" s="182"/>
      <c r="S42" s="183"/>
      <c r="T42" s="47"/>
      <c r="U42" s="47"/>
      <c r="V42" s="47"/>
      <c r="W42" s="47"/>
      <c r="AU42"/>
      <c r="AV42"/>
      <c r="AW42"/>
      <c r="AX42"/>
      <c r="AY42"/>
      <c r="AZ42"/>
    </row>
    <row r="43" spans="2:52" ht="24.75" customHeight="1">
      <c r="B43" s="187" t="s">
        <v>132</v>
      </c>
      <c r="C43" s="182"/>
      <c r="D43" s="183"/>
      <c r="E43" s="184" t="s">
        <v>133</v>
      </c>
      <c r="F43" s="182"/>
      <c r="G43" s="182"/>
      <c r="H43" s="182"/>
      <c r="I43" s="182"/>
      <c r="J43" s="182"/>
      <c r="K43" s="182"/>
      <c r="L43" s="182"/>
      <c r="M43" s="181"/>
      <c r="N43" s="182"/>
      <c r="O43" s="182"/>
      <c r="P43" s="182"/>
      <c r="Q43" s="182"/>
      <c r="R43" s="182"/>
      <c r="S43" s="183"/>
      <c r="T43" s="47"/>
      <c r="U43" s="47"/>
      <c r="V43" s="47"/>
      <c r="W43" s="47"/>
      <c r="AU43"/>
      <c r="AV43"/>
      <c r="AW43"/>
      <c r="AX43"/>
      <c r="AY43"/>
      <c r="AZ43"/>
    </row>
    <row r="44" spans="2:52" ht="24.75" customHeight="1">
      <c r="B44" s="187" t="s">
        <v>134</v>
      </c>
      <c r="C44" s="182"/>
      <c r="D44" s="183"/>
      <c r="E44" s="184" t="s">
        <v>135</v>
      </c>
      <c r="F44" s="182"/>
      <c r="G44" s="182"/>
      <c r="H44" s="182"/>
      <c r="I44" s="182"/>
      <c r="J44" s="182"/>
      <c r="K44" s="182"/>
      <c r="L44" s="182"/>
      <c r="M44" s="181"/>
      <c r="N44" s="182"/>
      <c r="O44" s="182"/>
      <c r="P44" s="182"/>
      <c r="Q44" s="182"/>
      <c r="R44" s="182"/>
      <c r="S44" s="183"/>
      <c r="T44" s="47"/>
      <c r="U44" s="47"/>
      <c r="V44" s="47"/>
      <c r="W44" s="47"/>
      <c r="AU44"/>
      <c r="AV44"/>
      <c r="AW44"/>
      <c r="AX44"/>
      <c r="AY44"/>
      <c r="AZ44"/>
    </row>
    <row r="45" spans="2:52" ht="15.75" customHeight="1"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S45" s="47"/>
      <c r="T45" s="47"/>
      <c r="U45" s="47"/>
      <c r="V45" s="47"/>
      <c r="W45" s="47"/>
    </row>
    <row r="46" spans="2:52" ht="15.75" customHeight="1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S46" s="47"/>
      <c r="T46" s="47"/>
      <c r="U46" s="47"/>
      <c r="V46" s="47"/>
      <c r="W46" s="47"/>
    </row>
    <row r="47" spans="2:52" ht="15.75" customHeight="1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S47" s="47"/>
      <c r="T47" s="47"/>
      <c r="U47" s="47"/>
      <c r="V47" s="47"/>
      <c r="W47" s="47"/>
    </row>
    <row r="48" spans="2:52" ht="15.75" customHeight="1"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S48" s="47"/>
      <c r="T48" s="47"/>
      <c r="U48" s="47"/>
      <c r="V48" s="47"/>
      <c r="W48" s="47"/>
    </row>
    <row r="49" spans="2:23" ht="15.75" customHeigh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S49" s="47"/>
      <c r="T49" s="47"/>
      <c r="U49" s="47"/>
      <c r="V49" s="47"/>
      <c r="W49" s="47"/>
    </row>
    <row r="50" spans="2:23" ht="15.75" customHeight="1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S50" s="47"/>
      <c r="T50" s="47"/>
      <c r="U50" s="47"/>
      <c r="V50" s="47"/>
      <c r="W50" s="47"/>
    </row>
    <row r="51" spans="2:23" ht="15.75" customHeigh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S51" s="47"/>
      <c r="T51" s="47"/>
      <c r="U51" s="47"/>
      <c r="V51" s="47"/>
      <c r="W51" s="47"/>
    </row>
    <row r="52" spans="2:23" ht="15.75" customHeight="1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S52" s="47"/>
      <c r="T52" s="47"/>
      <c r="U52" s="47"/>
      <c r="V52" s="47"/>
      <c r="W52" s="47"/>
    </row>
    <row r="53" spans="2:23" ht="15.75" customHeight="1"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S53" s="47"/>
      <c r="T53" s="47"/>
      <c r="U53" s="47"/>
      <c r="V53" s="47"/>
      <c r="W53" s="47"/>
    </row>
    <row r="54" spans="2:23" ht="15.75" customHeight="1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S54" s="47"/>
      <c r="T54" s="47"/>
      <c r="U54" s="47"/>
      <c r="V54" s="47"/>
      <c r="W54" s="47"/>
    </row>
    <row r="55" spans="2:23" s="47" customFormat="1" ht="15.75" customHeight="1"/>
    <row r="56" spans="2:23" s="47" customFormat="1" ht="15.75" customHeight="1"/>
    <row r="57" spans="2:23" s="47" customFormat="1" ht="15.75" customHeight="1"/>
    <row r="58" spans="2:23" s="47" customFormat="1" ht="15.75" customHeight="1"/>
    <row r="59" spans="2:23" s="47" customFormat="1" ht="15.75" customHeight="1"/>
    <row r="60" spans="2:23" s="47" customFormat="1" ht="15.75" customHeight="1"/>
    <row r="61" spans="2:23" s="47" customFormat="1" ht="15.75" customHeight="1"/>
    <row r="62" spans="2:23" s="47" customFormat="1" ht="15.75" customHeight="1"/>
    <row r="63" spans="2:23" s="47" customFormat="1" ht="15.75" customHeight="1"/>
    <row r="64" spans="2:23" s="47" customFormat="1" ht="15.75" customHeight="1"/>
    <row r="65" s="47" customFormat="1" ht="15.75" customHeight="1"/>
    <row r="66" s="47" customFormat="1" ht="15.75" customHeight="1"/>
    <row r="67" s="47" customFormat="1" ht="15.75" customHeight="1"/>
    <row r="68" s="47" customFormat="1" ht="15.75" customHeight="1"/>
    <row r="69" s="47" customFormat="1" ht="15.75" customHeight="1"/>
    <row r="70" s="47" customFormat="1" ht="15.75" customHeight="1"/>
    <row r="71" s="47" customFormat="1" ht="15.75" customHeight="1"/>
    <row r="72" s="47" customFormat="1" ht="15.75" customHeight="1"/>
    <row r="73" s="47" customFormat="1" ht="15.75" customHeight="1"/>
    <row r="74" s="47" customFormat="1" ht="15.75" customHeight="1"/>
    <row r="75" s="47" customFormat="1" ht="15.75" customHeight="1"/>
    <row r="76" s="47" customFormat="1" ht="15.75" customHeight="1"/>
    <row r="77" s="47" customFormat="1" ht="15.75" customHeight="1"/>
    <row r="78" s="47" customFormat="1" ht="15.75" customHeight="1"/>
    <row r="79" s="47" customFormat="1" ht="15.75" customHeight="1"/>
    <row r="80" s="47" customFormat="1" ht="15.75" customHeight="1"/>
    <row r="81" s="47" customFormat="1" ht="15.75" customHeight="1"/>
    <row r="82" s="47" customFormat="1" ht="15.75" customHeight="1"/>
    <row r="83" s="47" customFormat="1" ht="15.75" customHeight="1"/>
    <row r="84" s="47" customFormat="1" ht="15.75" customHeight="1"/>
    <row r="85" s="47" customFormat="1" ht="15.75" customHeight="1"/>
    <row r="86" s="47" customFormat="1" ht="15.75" customHeight="1"/>
    <row r="87" s="47" customFormat="1" ht="15.75" customHeight="1"/>
    <row r="88" s="47" customFormat="1" ht="15.75" customHeight="1"/>
    <row r="89" s="47" customFormat="1" ht="15.75" customHeight="1"/>
    <row r="90" s="47" customFormat="1" ht="15.75" customHeight="1"/>
    <row r="91" s="47" customFormat="1" ht="15.75" customHeight="1"/>
    <row r="92" s="47" customFormat="1" ht="15.75" customHeight="1"/>
    <row r="93" s="47" customFormat="1" ht="15.75" customHeight="1"/>
    <row r="94" s="47" customFormat="1" ht="15.75" customHeight="1"/>
    <row r="95" s="47" customFormat="1" ht="15.75" customHeight="1"/>
    <row r="96" s="47" customFormat="1" ht="15.75" customHeight="1"/>
    <row r="97" s="47" customFormat="1" ht="15.75" customHeight="1"/>
    <row r="98" s="47" customFormat="1" ht="15.75" customHeight="1"/>
    <row r="99" s="47" customFormat="1" ht="15.75" customHeight="1"/>
    <row r="100" s="47" customFormat="1" ht="15.75" customHeight="1"/>
    <row r="101" s="47" customFormat="1" ht="15.75" customHeight="1"/>
    <row r="102" s="47" customFormat="1" ht="15.75" customHeight="1"/>
    <row r="103" s="47" customFormat="1" ht="15.75" customHeight="1"/>
    <row r="104" s="47" customFormat="1" ht="15.75" customHeight="1"/>
    <row r="105" s="47" customFormat="1" ht="15.75" customHeight="1"/>
    <row r="106" s="47" customFormat="1" ht="15.75" customHeight="1"/>
    <row r="107" s="47" customFormat="1" ht="15.75" customHeight="1"/>
    <row r="108" s="47" customFormat="1" ht="15.75" customHeight="1"/>
    <row r="109" s="47" customFormat="1" ht="15.75" customHeight="1"/>
    <row r="110" s="47" customFormat="1" ht="15.75" customHeight="1"/>
    <row r="111" s="47" customFormat="1" ht="15.75" customHeight="1"/>
    <row r="112" s="47" customFormat="1" ht="15.75" customHeight="1"/>
    <row r="113" s="47" customFormat="1" ht="15.75" customHeight="1"/>
    <row r="114" s="47" customFormat="1" ht="15.75" customHeight="1"/>
    <row r="115" s="47" customFormat="1" ht="15.75" customHeight="1"/>
    <row r="116" s="47" customFormat="1" ht="15.75" customHeight="1"/>
    <row r="117" s="47" customFormat="1" ht="15.75" customHeight="1"/>
    <row r="118" s="47" customFormat="1" ht="15.75" customHeight="1"/>
    <row r="119" s="47" customFormat="1" ht="15.75" customHeight="1"/>
    <row r="120" s="47" customFormat="1" ht="15.75" customHeight="1"/>
    <row r="121" s="47" customFormat="1" ht="15.75" customHeight="1"/>
    <row r="122" s="47" customFormat="1" ht="15.75" customHeight="1"/>
    <row r="123" s="47" customFormat="1" ht="15.75" customHeight="1"/>
    <row r="124" s="47" customFormat="1" ht="15.75" customHeight="1"/>
    <row r="125" s="47" customFormat="1" ht="15.75" customHeight="1"/>
    <row r="126" s="47" customFormat="1" ht="15.75" customHeight="1"/>
    <row r="127" s="47" customFormat="1" ht="15.75" customHeight="1"/>
    <row r="128" s="47" customFormat="1" ht="15.75" customHeight="1"/>
    <row r="129" s="47" customFormat="1" ht="15.75" customHeight="1"/>
    <row r="130" s="47" customFormat="1" ht="15.75" customHeight="1"/>
    <row r="131" s="47" customFormat="1" ht="15.75" customHeight="1"/>
    <row r="132" s="47" customFormat="1" ht="15.75" customHeight="1"/>
    <row r="133" s="47" customFormat="1" ht="15.75" customHeight="1"/>
    <row r="134" s="47" customFormat="1" ht="15.75" customHeight="1"/>
    <row r="135" s="47" customFormat="1" ht="15.75" customHeight="1"/>
    <row r="136" s="47" customFormat="1" ht="15.75" customHeight="1"/>
    <row r="137" s="47" customFormat="1" ht="15.75" customHeight="1"/>
    <row r="138" s="47" customFormat="1" ht="15.75" customHeight="1"/>
    <row r="139" s="47" customFormat="1" ht="15.75" customHeight="1"/>
    <row r="140" s="47" customFormat="1" ht="15.75" customHeight="1"/>
    <row r="141" s="47" customFormat="1" ht="15.75" customHeight="1"/>
    <row r="142" s="47" customFormat="1" ht="15.75" customHeight="1"/>
    <row r="143" s="47" customFormat="1" ht="15.75" customHeight="1"/>
    <row r="144" s="47" customFormat="1" ht="15.75" customHeight="1"/>
    <row r="145" s="47" customFormat="1" ht="15.75" customHeight="1"/>
    <row r="146" s="47" customFormat="1" ht="15.75" customHeight="1"/>
    <row r="147" s="47" customFormat="1" ht="15.75" customHeight="1"/>
    <row r="148" s="47" customFormat="1" ht="15.75" customHeight="1"/>
    <row r="149" s="47" customFormat="1" ht="15.75" customHeight="1"/>
    <row r="150" s="47" customFormat="1" ht="15.75" customHeight="1"/>
    <row r="151" s="47" customFormat="1" ht="15.75" customHeight="1"/>
    <row r="152" s="47" customFormat="1" ht="15.75" customHeight="1"/>
    <row r="153" s="47" customFormat="1" ht="15.75" customHeight="1"/>
    <row r="154" s="47" customFormat="1" ht="15.75" customHeight="1"/>
    <row r="155" s="47" customFormat="1" ht="15.75" customHeight="1"/>
    <row r="156" s="47" customFormat="1" ht="15.75" customHeight="1"/>
    <row r="157" s="47" customFormat="1" ht="15.75" customHeight="1"/>
    <row r="158" s="47" customFormat="1" ht="15.75" customHeight="1"/>
    <row r="159" s="47" customFormat="1" ht="15.75" customHeight="1"/>
    <row r="160" s="47" customFormat="1" ht="15.75" customHeight="1"/>
    <row r="161" s="47" customFormat="1" ht="15.75" customHeight="1"/>
    <row r="162" s="47" customFormat="1" ht="15.75" customHeight="1"/>
    <row r="163" s="47" customFormat="1" ht="15.75" customHeight="1"/>
    <row r="164" s="47" customFormat="1" ht="15.75" customHeight="1"/>
    <row r="165" s="47" customFormat="1" ht="15.75" customHeight="1"/>
    <row r="166" s="47" customFormat="1" ht="15.75" customHeight="1"/>
    <row r="167" s="47" customFormat="1" ht="15.75" customHeight="1"/>
    <row r="168" s="47" customFormat="1" ht="15.75" customHeight="1"/>
    <row r="169" s="47" customFormat="1" ht="15.75" customHeight="1"/>
    <row r="170" s="47" customFormat="1" ht="15.75" customHeight="1"/>
    <row r="171" s="47" customFormat="1" ht="15.75" customHeight="1"/>
    <row r="172" s="47" customFormat="1" ht="15.75" customHeight="1"/>
    <row r="173" s="47" customFormat="1" ht="15.75" customHeight="1"/>
    <row r="174" s="47" customFormat="1" ht="15.75" customHeight="1"/>
    <row r="175" s="47" customFormat="1" ht="15.75" customHeight="1"/>
    <row r="176" s="47" customFormat="1" ht="15.75" customHeight="1"/>
    <row r="177" s="47" customFormat="1" ht="15.75" customHeight="1"/>
    <row r="178" s="47" customFormat="1" ht="15.75" customHeight="1"/>
    <row r="179" s="47" customFormat="1" ht="15.75" customHeight="1"/>
    <row r="180" s="47" customFormat="1" ht="15.75" customHeight="1"/>
    <row r="181" s="47" customFormat="1" ht="15.75" customHeight="1"/>
    <row r="182" s="47" customFormat="1" ht="15.75" customHeight="1"/>
    <row r="183" s="47" customFormat="1" ht="15.75" customHeight="1"/>
    <row r="184" s="47" customFormat="1" ht="15.75" customHeight="1"/>
    <row r="185" s="47" customFormat="1" ht="15.75" customHeight="1"/>
    <row r="186" s="47" customFormat="1" ht="15.75" customHeight="1"/>
    <row r="187" s="47" customFormat="1" ht="15.75" customHeight="1"/>
    <row r="188" s="47" customFormat="1" ht="15.75" customHeight="1"/>
    <row r="189" s="47" customFormat="1" ht="15.75" customHeight="1"/>
    <row r="190" s="47" customFormat="1" ht="15.75" customHeight="1"/>
    <row r="191" s="47" customFormat="1" ht="15.75" customHeight="1"/>
    <row r="192" s="47" customFormat="1" ht="15.75" customHeight="1"/>
    <row r="193" s="47" customFormat="1" ht="15.75" customHeight="1"/>
    <row r="194" s="47" customFormat="1" ht="15.75" customHeight="1"/>
    <row r="195" s="47" customFormat="1" ht="15.75" customHeight="1"/>
    <row r="196" s="47" customFormat="1" ht="15.75" customHeight="1"/>
    <row r="197" s="47" customFormat="1" ht="15.75" customHeight="1"/>
    <row r="198" s="47" customFormat="1" ht="15.75" customHeight="1"/>
    <row r="199" s="47" customFormat="1" ht="15.75" customHeight="1"/>
    <row r="200" s="47" customFormat="1" ht="15.75" customHeight="1"/>
    <row r="201" s="47" customFormat="1" ht="15.75" customHeight="1"/>
    <row r="202" s="47" customFormat="1" ht="15.75" customHeight="1"/>
    <row r="203" s="47" customFormat="1" ht="15.75" customHeight="1"/>
    <row r="204" s="47" customFormat="1" ht="15.75" customHeight="1"/>
    <row r="205" s="47" customFormat="1" ht="15.75" customHeight="1"/>
    <row r="206" s="47" customFormat="1" ht="15.75" customHeight="1"/>
    <row r="207" s="47" customFormat="1" ht="15.75" customHeight="1"/>
    <row r="208" s="47" customFormat="1" ht="15.75" customHeight="1"/>
    <row r="209" s="47" customFormat="1" ht="15.75" customHeight="1"/>
    <row r="210" s="47" customFormat="1" ht="15.75" customHeight="1"/>
    <row r="211" s="47" customFormat="1" ht="15.75" customHeight="1"/>
    <row r="212" s="47" customFormat="1" ht="15.75" customHeight="1"/>
    <row r="213" s="47" customFormat="1" ht="15.75" customHeight="1"/>
    <row r="214" s="47" customFormat="1" ht="15.75" customHeight="1"/>
    <row r="215" s="47" customFormat="1" ht="15.75" customHeight="1"/>
    <row r="216" s="47" customFormat="1" ht="15.75" customHeight="1"/>
    <row r="217" s="47" customFormat="1" ht="15.75" customHeight="1"/>
    <row r="218" s="47" customFormat="1" ht="15.75" customHeight="1"/>
    <row r="219" s="47" customFormat="1" ht="15.75" customHeight="1"/>
    <row r="220" s="47" customFormat="1" ht="15.75" customHeight="1"/>
    <row r="221" s="47" customFormat="1" ht="15.75" customHeight="1"/>
    <row r="222" s="47" customFormat="1" ht="15.75" customHeight="1"/>
    <row r="223" s="47" customFormat="1" ht="15.75" customHeight="1"/>
    <row r="224" s="47" customFormat="1" ht="15.75" customHeight="1"/>
    <row r="225" s="47" customFormat="1" ht="15.75" customHeight="1"/>
    <row r="226" s="47" customFormat="1" ht="15.75" customHeight="1"/>
    <row r="227" s="47" customFormat="1" ht="15.75" customHeight="1"/>
    <row r="228" s="47" customFormat="1" ht="15.75" customHeight="1"/>
    <row r="229" s="47" customFormat="1" ht="15.75" customHeight="1"/>
    <row r="230" s="47" customFormat="1" ht="15.75" customHeight="1"/>
    <row r="231" s="47" customFormat="1" ht="15.75" customHeight="1"/>
    <row r="232" s="47" customFormat="1" ht="15.75" customHeight="1"/>
    <row r="233" s="47" customFormat="1" ht="15.75" customHeight="1"/>
    <row r="234" s="47" customFormat="1" ht="15.75" customHeight="1"/>
    <row r="235" s="47" customFormat="1" ht="15.75" customHeight="1"/>
    <row r="236" s="47" customFormat="1" ht="15.75" customHeight="1"/>
    <row r="237" s="47" customFormat="1" ht="15.75" customHeight="1"/>
    <row r="238" s="47" customFormat="1" ht="15.75" customHeight="1"/>
    <row r="239" s="47" customFormat="1" ht="15.75" customHeight="1"/>
    <row r="240" s="47" customFormat="1" ht="15.75" customHeight="1"/>
    <row r="241" s="47" customFormat="1" ht="15.75" customHeight="1"/>
    <row r="242" s="47" customFormat="1" ht="15.75" customHeight="1"/>
    <row r="243" s="47" customFormat="1" ht="15.75" customHeight="1"/>
    <row r="244" s="47" customFormat="1" ht="15.75" customHeight="1"/>
    <row r="245" s="47" customFormat="1" ht="15.75" customHeight="1"/>
    <row r="246" s="47" customFormat="1" ht="15.75" customHeight="1"/>
    <row r="247" s="47" customFormat="1" ht="15.75" customHeight="1"/>
    <row r="248" s="47" customFormat="1" ht="15.75" customHeight="1"/>
    <row r="249" s="47" customFormat="1" ht="15.75" customHeight="1"/>
    <row r="250" s="47" customFormat="1" ht="15.75" customHeight="1"/>
    <row r="251" s="47" customFormat="1" ht="15.75" customHeight="1"/>
    <row r="252" s="47" customFormat="1" ht="15.75" customHeight="1"/>
    <row r="253" s="47" customFormat="1" ht="15.75" customHeight="1"/>
    <row r="254" s="47" customFormat="1" ht="15.75" customHeight="1"/>
    <row r="255" s="47" customFormat="1" ht="15.75" customHeight="1"/>
    <row r="256" s="47" customFormat="1" ht="15.75" customHeight="1"/>
    <row r="257" s="47" customFormat="1" ht="15.75" customHeight="1"/>
    <row r="258" s="47" customFormat="1" ht="15.75" customHeight="1"/>
    <row r="259" s="47" customFormat="1" ht="15.75" customHeight="1"/>
    <row r="260" s="47" customFormat="1" ht="15.75" customHeight="1"/>
    <row r="261" s="47" customFormat="1" ht="15.75" customHeight="1"/>
    <row r="262" s="47" customFormat="1" ht="15.75" customHeight="1"/>
    <row r="263" s="47" customFormat="1" ht="15.75" customHeight="1"/>
    <row r="264" s="47" customFormat="1" ht="15.75" customHeight="1"/>
    <row r="265" s="47" customFormat="1" ht="15.75" customHeight="1"/>
    <row r="266" s="47" customFormat="1" ht="15.75" customHeight="1"/>
    <row r="267" s="47" customFormat="1" ht="15.75" customHeight="1"/>
    <row r="268" s="47" customFormat="1" ht="15.75" customHeight="1"/>
    <row r="269" s="47" customFormat="1" ht="15.75" customHeight="1"/>
    <row r="270" s="47" customFormat="1" ht="15.75" customHeight="1"/>
    <row r="271" s="47" customFormat="1" ht="15.75" customHeight="1"/>
    <row r="272" s="47" customFormat="1" ht="15.75" customHeight="1"/>
    <row r="273" s="47" customFormat="1" ht="15.75" customHeight="1"/>
    <row r="274" s="47" customFormat="1" ht="15.75" customHeight="1"/>
    <row r="275" s="47" customFormat="1" ht="15.75" customHeight="1"/>
    <row r="276" s="47" customFormat="1" ht="15.75" customHeight="1"/>
    <row r="277" s="47" customFormat="1" ht="15.75" customHeight="1"/>
    <row r="278" s="47" customFormat="1" ht="15.75" customHeight="1"/>
    <row r="279" s="47" customFormat="1" ht="15.75" customHeight="1"/>
    <row r="280" s="47" customFormat="1" ht="15.75" customHeight="1"/>
    <row r="281" s="47" customFormat="1" ht="15.75" customHeight="1"/>
    <row r="282" s="47" customFormat="1" ht="15.75" customHeight="1"/>
    <row r="283" s="47" customFormat="1" ht="15.75" customHeight="1"/>
    <row r="284" s="47" customFormat="1" ht="15.75" customHeight="1"/>
    <row r="285" s="47" customFormat="1" ht="15.75" customHeight="1"/>
    <row r="286" s="47" customFormat="1" ht="15.75" customHeight="1"/>
    <row r="287" s="47" customFormat="1" ht="15.75" customHeight="1"/>
    <row r="288" s="47" customFormat="1" ht="15.75" customHeight="1"/>
    <row r="289" s="47" customFormat="1" ht="15.75" customHeight="1"/>
    <row r="290" s="47" customFormat="1" ht="15.75" customHeight="1"/>
    <row r="291" s="47" customFormat="1" ht="15.75" customHeight="1"/>
    <row r="292" s="47" customFormat="1" ht="15.75" customHeight="1"/>
    <row r="293" s="47" customFormat="1" ht="15.75" customHeight="1"/>
    <row r="294" s="47" customFormat="1" ht="15.75" customHeight="1"/>
    <row r="295" s="47" customFormat="1" ht="15.75" customHeight="1"/>
    <row r="296" s="47" customFormat="1" ht="15.75" customHeight="1"/>
    <row r="297" s="47" customFormat="1" ht="15.75" customHeight="1"/>
    <row r="298" s="47" customFormat="1" ht="15.75" customHeight="1"/>
    <row r="299" s="47" customFormat="1" ht="15.75" customHeight="1"/>
    <row r="300" s="47" customFormat="1" ht="15.75" customHeight="1"/>
    <row r="301" s="47" customFormat="1" ht="15.75" customHeight="1"/>
    <row r="302" s="47" customFormat="1" ht="15.75" customHeight="1"/>
    <row r="303" s="47" customFormat="1" ht="15.75" customHeight="1"/>
    <row r="304" s="47" customFormat="1" ht="15.75" customHeight="1"/>
    <row r="305" s="47" customFormat="1" ht="15.75" customHeight="1"/>
    <row r="306" s="47" customFormat="1" ht="15.75" customHeight="1"/>
    <row r="307" s="47" customFormat="1" ht="15.75" customHeight="1"/>
    <row r="308" s="47" customFormat="1" ht="15.75" customHeight="1"/>
    <row r="309" s="47" customFormat="1" ht="15.75" customHeight="1"/>
    <row r="310" s="47" customFormat="1" ht="15.75" customHeight="1"/>
    <row r="311" s="47" customFormat="1" ht="15.75" customHeight="1"/>
    <row r="312" s="47" customFormat="1" ht="15.75" customHeight="1"/>
    <row r="313" s="47" customFormat="1" ht="15.75" customHeight="1"/>
    <row r="314" s="47" customFormat="1" ht="15.75" customHeight="1"/>
    <row r="315" s="47" customFormat="1" ht="15.75" customHeight="1"/>
    <row r="316" s="47" customFormat="1" ht="15.75" customHeight="1"/>
    <row r="317" s="47" customFormat="1" ht="15.75" customHeight="1"/>
    <row r="318" s="47" customFormat="1" ht="15.75" customHeight="1"/>
    <row r="319" s="47" customFormat="1" ht="15.75" customHeight="1"/>
    <row r="320" s="47" customFormat="1" ht="15.75" customHeight="1"/>
    <row r="321" s="47" customFormat="1" ht="15.75" customHeight="1"/>
    <row r="322" s="47" customFormat="1" ht="15.75" customHeight="1"/>
    <row r="323" s="47" customFormat="1" ht="15.75" customHeight="1"/>
    <row r="324" s="47" customFormat="1" ht="15.75" customHeight="1"/>
    <row r="325" s="47" customFormat="1" ht="15.75" customHeight="1"/>
    <row r="326" s="47" customFormat="1" ht="15.75" customHeight="1"/>
    <row r="327" s="47" customFormat="1" ht="15.75" customHeight="1"/>
    <row r="328" s="47" customFormat="1" ht="15.75" customHeight="1"/>
    <row r="329" s="47" customFormat="1" ht="15.75" customHeight="1"/>
    <row r="330" s="47" customFormat="1" ht="15.75" customHeight="1"/>
    <row r="331" s="47" customFormat="1" ht="15.75" customHeight="1"/>
    <row r="332" s="47" customFormat="1" ht="15.75" customHeight="1"/>
    <row r="333" s="47" customFormat="1" ht="15.75" customHeight="1"/>
    <row r="334" s="47" customFormat="1" ht="15.75" customHeight="1"/>
    <row r="335" s="47" customFormat="1" ht="15.75" customHeight="1"/>
    <row r="336" s="47" customFormat="1" ht="15.75" customHeight="1"/>
    <row r="337" s="47" customFormat="1" ht="15.75" customHeight="1"/>
    <row r="338" s="47" customFormat="1" ht="15.75" customHeight="1"/>
    <row r="339" s="47" customFormat="1" ht="15.75" customHeight="1"/>
    <row r="340" s="47" customFormat="1" ht="15.75" customHeight="1"/>
    <row r="341" s="47" customFormat="1" ht="15.75" customHeight="1"/>
    <row r="342" s="47" customFormat="1" ht="15.75" customHeight="1"/>
    <row r="343" s="47" customFormat="1" ht="15.75" customHeight="1"/>
    <row r="344" s="47" customFormat="1" ht="15.75" customHeight="1"/>
    <row r="345" s="47" customFormat="1" ht="15.75" customHeight="1"/>
    <row r="346" s="47" customFormat="1" ht="15.75" customHeight="1"/>
    <row r="347" s="47" customFormat="1" ht="15.75" customHeight="1"/>
    <row r="348" s="47" customFormat="1" ht="15.75" customHeight="1"/>
    <row r="349" s="47" customFormat="1" ht="15.75" customHeight="1"/>
    <row r="350" s="47" customFormat="1" ht="15.75" customHeight="1"/>
    <row r="351" s="47" customFormat="1" ht="15.75" customHeight="1"/>
    <row r="352" s="47" customFormat="1" ht="15.75" customHeight="1"/>
    <row r="353" s="47" customFormat="1" ht="15.75" customHeight="1"/>
    <row r="354" s="47" customFormat="1" ht="15.75" customHeight="1"/>
    <row r="355" s="47" customFormat="1" ht="15.75" customHeight="1"/>
    <row r="356" s="47" customFormat="1" ht="15.75" customHeight="1"/>
    <row r="357" s="47" customFormat="1" ht="15.75" customHeight="1"/>
    <row r="358" s="47" customFormat="1" ht="15.75" customHeight="1"/>
    <row r="359" s="47" customFormat="1" ht="15.75" customHeight="1"/>
    <row r="360" s="47" customFormat="1" ht="15.75" customHeight="1"/>
    <row r="361" s="47" customFormat="1" ht="15.75" customHeight="1"/>
    <row r="362" s="47" customFormat="1" ht="15.75" customHeight="1"/>
    <row r="363" s="47" customFormat="1" ht="15.75" customHeight="1"/>
    <row r="364" s="47" customFormat="1" ht="15.75" customHeight="1"/>
    <row r="365" s="47" customFormat="1" ht="15.75" customHeight="1"/>
    <row r="366" s="47" customFormat="1" ht="15.75" customHeight="1"/>
    <row r="367" s="47" customFormat="1" ht="15.75" customHeight="1"/>
    <row r="368" s="47" customFormat="1" ht="15.75" customHeight="1"/>
    <row r="369" s="47" customFormat="1" ht="15.75" customHeight="1"/>
    <row r="370" s="47" customFormat="1" ht="15.75" customHeight="1"/>
    <row r="371" s="47" customFormat="1" ht="15.75" customHeight="1"/>
    <row r="372" s="47" customFormat="1" ht="15.75" customHeight="1"/>
    <row r="373" s="47" customFormat="1" ht="15.75" customHeight="1"/>
    <row r="374" s="47" customFormat="1" ht="15.75" customHeight="1"/>
    <row r="375" s="47" customFormat="1" ht="15.75" customHeight="1"/>
    <row r="376" s="47" customFormat="1" ht="15.75" customHeight="1"/>
    <row r="377" s="47" customFormat="1" ht="15.75" customHeight="1"/>
    <row r="378" s="47" customFormat="1" ht="15.75" customHeight="1"/>
    <row r="379" s="47" customFormat="1" ht="15.75" customHeight="1"/>
    <row r="380" s="47" customFormat="1" ht="15.75" customHeight="1"/>
    <row r="381" s="47" customFormat="1" ht="15.75" customHeight="1"/>
    <row r="382" s="47" customFormat="1" ht="15.75" customHeight="1"/>
    <row r="383" s="47" customFormat="1" ht="15.75" customHeight="1"/>
    <row r="384" s="47" customFormat="1" ht="15.75" customHeight="1"/>
    <row r="385" s="47" customFormat="1" ht="15.75" customHeight="1"/>
    <row r="386" s="47" customFormat="1" ht="15.75" customHeight="1"/>
    <row r="387" s="47" customFormat="1" ht="15.75" customHeight="1"/>
    <row r="388" s="47" customFormat="1" ht="15.75" customHeight="1"/>
    <row r="389" s="47" customFormat="1" ht="15.75" customHeight="1"/>
    <row r="390" s="47" customFormat="1" ht="15.75" customHeight="1"/>
    <row r="391" s="47" customFormat="1" ht="15.75" customHeight="1"/>
    <row r="392" s="47" customFormat="1" ht="15.75" customHeight="1"/>
    <row r="393" s="47" customFormat="1" ht="15.75" customHeight="1"/>
    <row r="394" s="47" customFormat="1" ht="15.75" customHeight="1"/>
    <row r="395" s="47" customFormat="1" ht="15.75" customHeight="1"/>
    <row r="396" s="47" customFormat="1" ht="15.75" customHeight="1"/>
    <row r="397" s="47" customFormat="1" ht="15.75" customHeight="1"/>
    <row r="398" s="47" customFormat="1" ht="15.75" customHeight="1"/>
    <row r="399" s="47" customFormat="1" ht="15.75" customHeight="1"/>
    <row r="400" s="47" customFormat="1" ht="15.75" customHeight="1"/>
    <row r="401" s="47" customFormat="1" ht="15.75" customHeight="1"/>
    <row r="402" s="47" customFormat="1" ht="15.75" customHeight="1"/>
    <row r="403" s="47" customFormat="1" ht="15.75" customHeight="1"/>
    <row r="404" s="47" customFormat="1" ht="15.75" customHeight="1"/>
    <row r="405" s="47" customFormat="1" ht="15.75" customHeight="1"/>
    <row r="406" s="47" customFormat="1" ht="15.75" customHeight="1"/>
    <row r="407" s="47" customFormat="1" ht="15.75" customHeight="1"/>
    <row r="408" s="47" customFormat="1" ht="15.75" customHeight="1"/>
    <row r="409" s="47" customFormat="1" ht="15.75" customHeight="1"/>
  </sheetData>
  <mergeCells count="69">
    <mergeCell ref="B3:P3"/>
    <mergeCell ref="M30:S30"/>
    <mergeCell ref="E15:N15"/>
    <mergeCell ref="B21:D21"/>
    <mergeCell ref="E22:L22"/>
    <mergeCell ref="F7:H7"/>
    <mergeCell ref="B12:D12"/>
    <mergeCell ref="O14:S14"/>
    <mergeCell ref="O13:S13"/>
    <mergeCell ref="B18:S18"/>
    <mergeCell ref="M44:S44"/>
    <mergeCell ref="E14:N14"/>
    <mergeCell ref="B36:D36"/>
    <mergeCell ref="E30:L30"/>
    <mergeCell ref="M39:S39"/>
    <mergeCell ref="B43:D43"/>
    <mergeCell ref="B41:D41"/>
    <mergeCell ref="B34:C34"/>
    <mergeCell ref="B35:D35"/>
    <mergeCell ref="E36:L36"/>
    <mergeCell ref="B31:D31"/>
    <mergeCell ref="M31:S31"/>
    <mergeCell ref="E37:L37"/>
    <mergeCell ref="B22:D22"/>
    <mergeCell ref="M22:S22"/>
    <mergeCell ref="E41:L41"/>
    <mergeCell ref="B44:D44"/>
    <mergeCell ref="B39:D39"/>
    <mergeCell ref="M29:S29"/>
    <mergeCell ref="B29:D29"/>
    <mergeCell ref="B27:C27"/>
    <mergeCell ref="M38:S38"/>
    <mergeCell ref="E39:L39"/>
    <mergeCell ref="B38:D38"/>
    <mergeCell ref="B28:D28"/>
    <mergeCell ref="B37:D37"/>
    <mergeCell ref="E44:L44"/>
    <mergeCell ref="E29:L29"/>
    <mergeCell ref="E38:L38"/>
    <mergeCell ref="M43:S43"/>
    <mergeCell ref="B30:D30"/>
    <mergeCell ref="E31:L31"/>
    <mergeCell ref="B2:P2"/>
    <mergeCell ref="B23:D23"/>
    <mergeCell ref="B7:C7"/>
    <mergeCell ref="O15:S15"/>
    <mergeCell ref="E24:L24"/>
    <mergeCell ref="M24:S24"/>
    <mergeCell ref="B13:D13"/>
    <mergeCell ref="E23:L23"/>
    <mergeCell ref="M23:S23"/>
    <mergeCell ref="E12:N12"/>
    <mergeCell ref="B15:D15"/>
    <mergeCell ref="B24:D24"/>
    <mergeCell ref="D7:E7"/>
    <mergeCell ref="B5:P5"/>
    <mergeCell ref="E13:N13"/>
    <mergeCell ref="O12:S12"/>
    <mergeCell ref="M42:S42"/>
    <mergeCell ref="E43:L43"/>
    <mergeCell ref="B11:D11"/>
    <mergeCell ref="M36:S36"/>
    <mergeCell ref="B42:D42"/>
    <mergeCell ref="B14:D14"/>
    <mergeCell ref="M41:S41"/>
    <mergeCell ref="E11:N11"/>
    <mergeCell ref="E42:L42"/>
    <mergeCell ref="B20:C20"/>
    <mergeCell ref="M37:S37"/>
  </mergeCells>
  <phoneticPr fontId="63" type="noConversion"/>
  <pageMargins left="0.7" right="0.7" top="0.75" bottom="0.75" header="0.3" footer="0.3"/>
  <pageSetup paperSize="9" orientation="portrait" horizontalDpi="300" verticalDpi="300"/>
  <headerFooter>
    <oddHeader>&amp;L&amp;"Aptos"&amp;10&amp;KFF0000 ASUS_Confidential&amp;1#_x000D_&amp;"新細明體"&amp;12&amp;K000000&amp;"新細明體"&amp;12&amp;K000000&amp;"Aptos,Regular"&amp;1 &amp;K0000ff ASUS_General#_x000D_</oddHeader>
    <oddFooter>&amp;L&amp;"Aptos,Regular"&amp;10 &amp;K0000ff_x000D_# ASUS_General_x000D_&amp;1#&amp;"Aptos"&amp;10&amp;KFF0000 ASUS_Confidential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"/>
  <sheetViews>
    <sheetView zoomScaleNormal="100" workbookViewId="0">
      <pane xSplit="5" ySplit="1" topLeftCell="I2" activePane="bottomRight" state="frozen"/>
      <selection pane="topRight" activeCell="I1" sqref="I1"/>
      <selection pane="bottomLeft" activeCell="A2" sqref="A2"/>
      <selection pane="bottomRight" activeCell="J15" sqref="J15"/>
    </sheetView>
  </sheetViews>
  <sheetFormatPr defaultColWidth="35.77734375" defaultRowHeight="16.2"/>
  <cols>
    <col min="1" max="1" width="5.44140625" style="53" customWidth="1"/>
    <col min="2" max="4" width="6.88671875" style="53" customWidth="1"/>
    <col min="5" max="5" width="45.44140625" style="53" customWidth="1"/>
    <col min="6" max="8" width="7.21875" style="71" hidden="1" customWidth="1"/>
    <col min="9" max="11" width="7.21875" style="71" customWidth="1"/>
    <col min="12" max="12" width="10.21875" style="71" customWidth="1"/>
    <col min="13" max="13" width="13.88671875" style="71" customWidth="1"/>
    <col min="14" max="14" width="20.33203125" style="53" customWidth="1"/>
    <col min="15" max="16" width="12.6640625" style="53" customWidth="1"/>
    <col min="17" max="18" width="14.77734375" style="53" customWidth="1"/>
    <col min="19" max="19" width="13.44140625" style="53" customWidth="1"/>
    <col min="20" max="20" width="16.109375" style="53" customWidth="1"/>
    <col min="21" max="21" width="14.6640625" style="53" customWidth="1"/>
    <col min="22" max="24" width="12.6640625" style="53" customWidth="1"/>
    <col min="25" max="25" width="19.44140625" style="53" customWidth="1"/>
    <col min="26" max="26" width="11.88671875" style="53" customWidth="1"/>
    <col min="27" max="27" width="14.33203125" style="53" customWidth="1"/>
    <col min="28" max="28" width="20.44140625" style="53" customWidth="1"/>
    <col min="29" max="29" width="22.88671875" style="53" customWidth="1"/>
    <col min="30" max="32" width="12.6640625" style="53" customWidth="1"/>
    <col min="33" max="33" width="16.33203125" style="53" customWidth="1"/>
    <col min="34" max="44" width="12.6640625" style="53" customWidth="1"/>
    <col min="45" max="45" width="14.88671875" style="53" customWidth="1"/>
    <col min="46" max="46" width="16.77734375" style="53" customWidth="1"/>
    <col min="47" max="47" width="12.6640625" style="53" customWidth="1"/>
    <col min="48" max="48" width="27.33203125" style="53" customWidth="1"/>
    <col min="49" max="51" width="12.6640625" style="53" customWidth="1"/>
  </cols>
  <sheetData>
    <row r="1" spans="1:51" s="77" customFormat="1" ht="36.75" customHeight="1">
      <c r="A1" s="72" t="s">
        <v>3</v>
      </c>
      <c r="B1" s="212" t="s">
        <v>136</v>
      </c>
      <c r="C1" s="163"/>
      <c r="D1" s="144"/>
      <c r="E1" s="73" t="s">
        <v>137</v>
      </c>
      <c r="F1" s="213" t="s">
        <v>138</v>
      </c>
      <c r="G1" s="163"/>
      <c r="H1" s="144"/>
      <c r="I1" s="213" t="s">
        <v>139</v>
      </c>
      <c r="J1" s="163"/>
      <c r="K1" s="144"/>
      <c r="L1" s="74" t="s">
        <v>140</v>
      </c>
      <c r="M1" s="74" t="s">
        <v>141</v>
      </c>
      <c r="N1" s="74" t="s">
        <v>142</v>
      </c>
      <c r="O1" s="74" t="s">
        <v>143</v>
      </c>
      <c r="P1" s="74" t="s">
        <v>144</v>
      </c>
      <c r="Q1" s="74" t="s">
        <v>145</v>
      </c>
      <c r="R1" s="75" t="s">
        <v>146</v>
      </c>
      <c r="S1" s="75" t="s">
        <v>147</v>
      </c>
      <c r="T1" s="75" t="s">
        <v>148</v>
      </c>
      <c r="U1" s="75" t="s">
        <v>149</v>
      </c>
      <c r="V1" s="75" t="s">
        <v>150</v>
      </c>
      <c r="W1" s="75" t="s">
        <v>151</v>
      </c>
      <c r="X1" s="75" t="s">
        <v>152</v>
      </c>
      <c r="Y1" s="75" t="s">
        <v>153</v>
      </c>
      <c r="Z1" s="75" t="s">
        <v>154</v>
      </c>
      <c r="AA1" s="75" t="s">
        <v>155</v>
      </c>
      <c r="AB1" s="75" t="s">
        <v>156</v>
      </c>
      <c r="AC1" s="75" t="s">
        <v>157</v>
      </c>
      <c r="AD1" s="75" t="s">
        <v>158</v>
      </c>
      <c r="AE1" s="75" t="s">
        <v>159</v>
      </c>
      <c r="AF1" s="75" t="s">
        <v>160</v>
      </c>
      <c r="AG1" s="75" t="s">
        <v>161</v>
      </c>
      <c r="AH1" s="75" t="s">
        <v>162</v>
      </c>
      <c r="AI1" s="75" t="s">
        <v>163</v>
      </c>
      <c r="AJ1" s="75" t="s">
        <v>164</v>
      </c>
      <c r="AK1" s="75" t="s">
        <v>165</v>
      </c>
      <c r="AL1" s="75" t="s">
        <v>166</v>
      </c>
      <c r="AM1" s="75" t="s">
        <v>167</v>
      </c>
      <c r="AN1" s="75" t="s">
        <v>168</v>
      </c>
      <c r="AO1" s="75" t="s">
        <v>169</v>
      </c>
      <c r="AP1" s="75" t="s">
        <v>170</v>
      </c>
      <c r="AQ1" s="75" t="s">
        <v>171</v>
      </c>
      <c r="AR1" s="74" t="s">
        <v>172</v>
      </c>
      <c r="AS1" s="75" t="s">
        <v>173</v>
      </c>
      <c r="AT1" s="75" t="s">
        <v>174</v>
      </c>
      <c r="AU1" s="75" t="s">
        <v>175</v>
      </c>
      <c r="AV1" s="74" t="s">
        <v>176</v>
      </c>
      <c r="AW1" s="75" t="s">
        <v>177</v>
      </c>
      <c r="AX1" s="75" t="s">
        <v>178</v>
      </c>
      <c r="AY1" s="76" t="s">
        <v>179</v>
      </c>
    </row>
    <row r="2" spans="1:51" ht="15.75" customHeight="1">
      <c r="A2" s="50">
        <v>1</v>
      </c>
      <c r="B2" s="211" t="str">
        <f>'90編碼原則'!H5&amp;'90編碼原則'!I5&amp;'90編碼原則'!J5&amp;'90編碼原則'!K5&amp;'90編碼原則'!L5&amp;'90編碼原則'!M5&amp;'90編碼原則'!N5&amp;'90編碼原則'!O5&amp;'90編碼原則'!P5&amp;'90編碼原則'!Q5&amp;'90編碼原則'!R5&amp;'90編碼原則'!S5&amp;'90編碼原則'!T5&amp;'90編碼原則'!U5&amp;'90編碼原則'!V5&amp;'90編碼原則'!W5</f>
        <v>90IG0AT0-MO3A0V</v>
      </c>
      <c r="C2" s="163"/>
      <c r="D2" s="144"/>
      <c r="E2" s="52" t="str">
        <f>'90編碼原則'!B5</f>
        <v>GT-BN98/EU/13/P_EU//PW</v>
      </c>
      <c r="F2" s="211" t="s">
        <v>180</v>
      </c>
      <c r="G2" s="163"/>
      <c r="H2" s="144"/>
      <c r="I2" s="211" t="s">
        <v>181</v>
      </c>
      <c r="J2" s="163"/>
      <c r="K2" s="144"/>
      <c r="L2" s="50">
        <v>1</v>
      </c>
      <c r="M2" s="50" t="s">
        <v>182</v>
      </c>
      <c r="N2" s="50">
        <v>0</v>
      </c>
      <c r="O2" s="50" t="s">
        <v>183</v>
      </c>
      <c r="P2" s="50" t="s">
        <v>184</v>
      </c>
      <c r="Q2" s="50" t="s">
        <v>185</v>
      </c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52" t="s">
        <v>186</v>
      </c>
      <c r="AS2" s="78"/>
      <c r="AT2" s="78"/>
      <c r="AU2" s="78"/>
      <c r="AV2" s="52" t="s">
        <v>187</v>
      </c>
      <c r="AW2" s="78"/>
      <c r="AX2" s="78"/>
      <c r="AY2" s="78"/>
    </row>
    <row r="3" spans="1:51" ht="15.75" customHeight="1">
      <c r="A3" s="50"/>
      <c r="B3" s="211"/>
      <c r="C3" s="163"/>
      <c r="D3" s="144"/>
      <c r="E3" s="52"/>
      <c r="F3" s="211"/>
      <c r="G3" s="163"/>
      <c r="H3" s="144"/>
      <c r="I3" s="211"/>
      <c r="J3" s="163"/>
      <c r="K3" s="144"/>
      <c r="L3" s="50"/>
      <c r="M3" s="50"/>
      <c r="N3" s="50"/>
      <c r="O3" s="50"/>
      <c r="P3" s="50"/>
      <c r="Q3" s="50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52"/>
      <c r="AS3" s="78"/>
      <c r="AT3" s="78"/>
      <c r="AU3" s="78"/>
      <c r="AV3" s="52"/>
      <c r="AW3" s="78"/>
      <c r="AX3" s="78"/>
      <c r="AY3" s="78"/>
    </row>
    <row r="4" spans="1:51" ht="15.75" customHeight="1">
      <c r="A4" s="50"/>
      <c r="B4" s="211"/>
      <c r="C4" s="163"/>
      <c r="D4" s="144"/>
      <c r="E4" s="52"/>
      <c r="F4" s="211"/>
      <c r="G4" s="163"/>
      <c r="H4" s="144"/>
      <c r="I4" s="211"/>
      <c r="J4" s="163"/>
      <c r="K4" s="144"/>
      <c r="L4" s="50"/>
      <c r="M4" s="50"/>
      <c r="N4" s="50"/>
      <c r="O4" s="50"/>
      <c r="P4" s="50"/>
      <c r="Q4" s="50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52"/>
      <c r="AS4" s="78"/>
      <c r="AT4" s="78"/>
      <c r="AU4" s="78"/>
      <c r="AV4" s="52"/>
      <c r="AW4" s="78"/>
      <c r="AX4" s="78"/>
      <c r="AY4" s="78"/>
    </row>
  </sheetData>
  <mergeCells count="12">
    <mergeCell ref="B3:D3"/>
    <mergeCell ref="I2:K2"/>
    <mergeCell ref="B1:D1"/>
    <mergeCell ref="F1:H1"/>
    <mergeCell ref="B4:D4"/>
    <mergeCell ref="I1:K1"/>
    <mergeCell ref="F4:H4"/>
    <mergeCell ref="F2:H2"/>
    <mergeCell ref="I4:K4"/>
    <mergeCell ref="I3:K3"/>
    <mergeCell ref="F3:H3"/>
    <mergeCell ref="B2:D2"/>
  </mergeCells>
  <phoneticPr fontId="63" type="noConversion"/>
  <dataValidations count="1">
    <dataValidation showInputMessage="1" showErrorMessage="1" prompt="選擇出貨地語言別" sqref="AV1" xr:uid="{00000000-0002-0000-0300-000000000000}">
      <formula1>0</formula1>
      <formula2>0</formula2>
    </dataValidation>
  </dataValidations>
  <pageMargins left="0.7" right="0.7" top="0.75" bottom="0.75" header="0.3" footer="0.3"/>
  <pageSetup paperSize="9" orientation="portrait" horizontalDpi="300" verticalDpi="300"/>
  <headerFooter>
    <oddHeader>&amp;L&amp;"Aptos"&amp;10&amp;KFF0000 ASUS_Confidential&amp;1#_x000D_&amp;"新細明體"&amp;12&amp;K000000&amp;"新細明體"&amp;12&amp;K000000&amp;"Aptos,Regular"&amp;1 &amp;K0000ff ASUS_General#_x000D_</oddHeader>
    <oddFooter>&amp;L&amp;"Aptos,Regular"&amp;10 &amp;K0000ff_x000D_# ASUS_General_x000D_&amp;1#&amp;"Aptos"&amp;10&amp;KFF0000 ASUS_Confidential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zoomScaleNormal="100" workbookViewId="0">
      <pane ySplit="1" topLeftCell="A2" activePane="bottomLeft" state="frozen"/>
      <selection pane="bottomLeft" activeCell="D15" sqref="D15"/>
    </sheetView>
  </sheetViews>
  <sheetFormatPr defaultColWidth="8.44140625" defaultRowHeight="16.2"/>
  <cols>
    <col min="1" max="1" width="7" style="71" customWidth="1"/>
    <col min="2" max="2" width="20.44140625" style="53" customWidth="1"/>
    <col min="3" max="3" width="45.44140625" style="53" customWidth="1"/>
    <col min="4" max="4" width="16" style="53" customWidth="1"/>
  </cols>
  <sheetData>
    <row r="1" spans="1:4" s="82" customFormat="1" ht="35.25" customHeight="1">
      <c r="A1" s="79" t="s">
        <v>3</v>
      </c>
      <c r="B1" s="80" t="s">
        <v>136</v>
      </c>
      <c r="C1" s="80" t="s">
        <v>137</v>
      </c>
      <c r="D1" s="81" t="s">
        <v>188</v>
      </c>
    </row>
    <row r="2" spans="1:4" s="83" customFormat="1" ht="15.75" customHeight="1">
      <c r="A2" s="50">
        <v>1</v>
      </c>
      <c r="B2" s="52" t="str">
        <f>'90編碼原則'!H5&amp;'90編碼原則'!I5&amp;'90編碼原則'!J5&amp;'90編碼原則'!K5&amp;'90編碼原則'!L5&amp;'90編碼原則'!M5&amp;'90編碼原則'!N5&amp;'90編碼原則'!O5&amp;'90編碼原則'!P5&amp;'90編碼原則'!Q5&amp;'90編碼原則'!R5&amp;'90編碼原則'!S5&amp;'90編碼原則'!T5&amp;'90編碼原則'!U5&amp;'90編碼原則'!V5&amp;'90編碼原則'!W5</f>
        <v>90IG0AT0-MO3A0V</v>
      </c>
      <c r="C2" s="52" t="str">
        <f>'90編碼原則'!B5</f>
        <v>GT-BN98/EU/13/P_EU//PW</v>
      </c>
      <c r="D2" s="50" t="s">
        <v>189</v>
      </c>
    </row>
    <row r="3" spans="1:4" s="83" customFormat="1" ht="15.75" customHeight="1">
      <c r="A3" s="50"/>
      <c r="B3" s="52"/>
      <c r="C3" s="52"/>
      <c r="D3" s="50"/>
    </row>
    <row r="4" spans="1:4" s="83" customFormat="1" ht="15.75" customHeight="1">
      <c r="A4" s="50"/>
      <c r="B4" s="52"/>
      <c r="C4" s="52"/>
      <c r="D4" s="50"/>
    </row>
  </sheetData>
  <phoneticPr fontId="63" type="noConversion"/>
  <pageMargins left="0.7" right="0.7" top="0.75" bottom="0.75" header="0.3" footer="0.3"/>
  <pageSetup paperSize="9" orientation="portrait" horizontalDpi="300" verticalDpi="300"/>
  <headerFooter>
    <oddHeader>&amp;L&amp;"Aptos"&amp;10&amp;KFF0000 ASUS_Confidential&amp;1#_x000D_&amp;"新細明體"&amp;12&amp;K000000&amp;"新細明體"&amp;12&amp;K000000&amp;"Aptos,Regular"&amp;1 &amp;K0000ff ASUS_General#_x000D_</oddHeader>
    <oddFooter>&amp;L&amp;"Aptos,Regular"&amp;10 &amp;K0000ff_x000D_# ASUS_General_x000D_&amp;1#&amp;"Aptos"&amp;10&amp;KFF0000 ASUS_Confidential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6"/>
  <sheetViews>
    <sheetView topLeftCell="A9" zoomScaleNormal="100" workbookViewId="0">
      <selection activeCell="J23" sqref="J23"/>
    </sheetView>
  </sheetViews>
  <sheetFormatPr defaultColWidth="16.33203125" defaultRowHeight="17.399999999999999"/>
  <cols>
    <col min="1" max="1" width="13.77734375" style="84" customWidth="1"/>
    <col min="2" max="3" width="9.77734375" style="84" customWidth="1"/>
    <col min="4" max="4" width="33.77734375" style="84" customWidth="1"/>
    <col min="5" max="5" width="9.77734375" style="84" customWidth="1"/>
    <col min="6" max="6" width="31" style="84" customWidth="1"/>
    <col min="7" max="7" width="15.109375" style="84" customWidth="1"/>
    <col min="8" max="8" width="22.44140625" style="84" customWidth="1"/>
    <col min="9" max="9" width="16.33203125" style="84" customWidth="1"/>
    <col min="10" max="16384" width="16.33203125" style="84"/>
  </cols>
  <sheetData>
    <row r="1" spans="1:8" ht="26.25" customHeight="1">
      <c r="A1" s="218" t="s">
        <v>190</v>
      </c>
      <c r="B1" s="217" t="s">
        <v>191</v>
      </c>
      <c r="C1" s="216" t="s">
        <v>192</v>
      </c>
      <c r="D1" s="153"/>
      <c r="E1" s="216" t="s">
        <v>193</v>
      </c>
      <c r="F1" s="146"/>
      <c r="G1" s="153"/>
    </row>
    <row r="2" spans="1:8" ht="19.5" customHeight="1">
      <c r="A2" s="155"/>
      <c r="B2" s="151"/>
      <c r="C2" s="85" t="s">
        <v>194</v>
      </c>
      <c r="D2" s="86"/>
      <c r="E2" s="85" t="s">
        <v>195</v>
      </c>
      <c r="F2" s="214"/>
      <c r="G2" s="215"/>
    </row>
    <row r="3" spans="1:8" ht="18" customHeight="1">
      <c r="A3" s="87" t="s">
        <v>196</v>
      </c>
      <c r="B3" s="88"/>
      <c r="C3" s="89">
        <v>0</v>
      </c>
      <c r="D3" s="90" t="s">
        <v>196</v>
      </c>
      <c r="E3" s="91">
        <v>0</v>
      </c>
      <c r="F3" s="92" t="s">
        <v>197</v>
      </c>
      <c r="G3" s="93"/>
    </row>
    <row r="4" spans="1:8" ht="18" customHeight="1">
      <c r="A4" s="94" t="s">
        <v>198</v>
      </c>
      <c r="B4" s="95">
        <v>11</v>
      </c>
      <c r="C4" s="96" t="s">
        <v>27</v>
      </c>
      <c r="D4" s="97" t="s">
        <v>199</v>
      </c>
      <c r="E4" s="98">
        <v>1</v>
      </c>
      <c r="F4" s="99" t="s">
        <v>200</v>
      </c>
      <c r="G4" s="100" t="s">
        <v>201</v>
      </c>
    </row>
    <row r="5" spans="1:8" ht="18" customHeight="1">
      <c r="A5" s="94" t="s">
        <v>202</v>
      </c>
      <c r="B5" s="95">
        <v>11</v>
      </c>
      <c r="C5" s="96" t="s">
        <v>203</v>
      </c>
      <c r="D5" s="97" t="s">
        <v>204</v>
      </c>
      <c r="E5" s="98">
        <v>1</v>
      </c>
      <c r="F5" s="99" t="s">
        <v>200</v>
      </c>
      <c r="G5" s="100" t="s">
        <v>201</v>
      </c>
    </row>
    <row r="6" spans="1:8" ht="18" customHeight="1">
      <c r="A6" s="94" t="s">
        <v>205</v>
      </c>
      <c r="B6" s="95">
        <v>13</v>
      </c>
      <c r="C6" s="96" t="s">
        <v>54</v>
      </c>
      <c r="D6" s="97" t="s">
        <v>206</v>
      </c>
      <c r="E6" s="98">
        <v>5</v>
      </c>
      <c r="F6" s="99" t="s">
        <v>207</v>
      </c>
      <c r="G6" s="100" t="s">
        <v>208</v>
      </c>
    </row>
    <row r="7" spans="1:8" ht="35.25" customHeight="1">
      <c r="A7" s="101" t="s">
        <v>33</v>
      </c>
      <c r="B7" s="102">
        <v>11</v>
      </c>
      <c r="C7" s="103" t="s">
        <v>209</v>
      </c>
      <c r="D7" s="104" t="s">
        <v>210</v>
      </c>
      <c r="E7" s="105">
        <v>3</v>
      </c>
      <c r="F7" s="106" t="s">
        <v>211</v>
      </c>
      <c r="G7" s="107" t="s">
        <v>24</v>
      </c>
      <c r="H7" s="108" t="s">
        <v>212</v>
      </c>
    </row>
    <row r="8" spans="1:8" ht="18" customHeight="1">
      <c r="A8" s="109" t="s">
        <v>213</v>
      </c>
      <c r="B8" s="95">
        <v>11</v>
      </c>
      <c r="C8" s="96" t="s">
        <v>35</v>
      </c>
      <c r="D8" s="97" t="s">
        <v>214</v>
      </c>
      <c r="E8" s="110" t="s">
        <v>27</v>
      </c>
      <c r="F8" s="111" t="s">
        <v>215</v>
      </c>
      <c r="G8" s="112" t="s">
        <v>34</v>
      </c>
    </row>
    <row r="9" spans="1:8" s="113" customFormat="1" ht="18" customHeight="1">
      <c r="A9" s="101" t="s">
        <v>33</v>
      </c>
      <c r="B9" s="102">
        <v>13</v>
      </c>
      <c r="C9" s="103" t="s">
        <v>26</v>
      </c>
      <c r="D9" s="104" t="s">
        <v>214</v>
      </c>
      <c r="E9" s="105" t="s">
        <v>27</v>
      </c>
      <c r="F9" s="106" t="s">
        <v>215</v>
      </c>
      <c r="G9" s="107" t="s">
        <v>34</v>
      </c>
      <c r="H9" s="108" t="s">
        <v>212</v>
      </c>
    </row>
    <row r="10" spans="1:8" ht="18" customHeight="1">
      <c r="A10" s="94" t="s">
        <v>216</v>
      </c>
      <c r="B10" s="95">
        <v>11</v>
      </c>
      <c r="C10" s="96" t="s">
        <v>217</v>
      </c>
      <c r="D10" s="97" t="s">
        <v>218</v>
      </c>
      <c r="E10" s="98">
        <v>2</v>
      </c>
      <c r="F10" s="99" t="s">
        <v>219</v>
      </c>
      <c r="G10" s="100" t="s">
        <v>220</v>
      </c>
    </row>
    <row r="11" spans="1:8" ht="18" customHeight="1">
      <c r="A11" s="94" t="s">
        <v>221</v>
      </c>
      <c r="B11" s="95">
        <v>11</v>
      </c>
      <c r="C11" s="96" t="s">
        <v>25</v>
      </c>
      <c r="D11" s="97" t="s">
        <v>222</v>
      </c>
      <c r="E11" s="98" t="s">
        <v>54</v>
      </c>
      <c r="F11" s="99" t="s">
        <v>221</v>
      </c>
      <c r="G11" s="100" t="s">
        <v>223</v>
      </c>
    </row>
    <row r="12" spans="1:8" ht="18" customHeight="1">
      <c r="A12" s="94" t="s">
        <v>36</v>
      </c>
      <c r="B12" s="95">
        <v>13</v>
      </c>
      <c r="C12" s="96" t="s">
        <v>38</v>
      </c>
      <c r="D12" s="97" t="s">
        <v>224</v>
      </c>
      <c r="E12" s="98">
        <v>6</v>
      </c>
      <c r="F12" s="99" t="s">
        <v>225</v>
      </c>
      <c r="G12" s="100" t="s">
        <v>37</v>
      </c>
    </row>
    <row r="13" spans="1:8" ht="18" customHeight="1">
      <c r="A13" s="94" t="s">
        <v>39</v>
      </c>
      <c r="B13" s="95">
        <v>13</v>
      </c>
      <c r="C13" s="96" t="s">
        <v>41</v>
      </c>
      <c r="D13" s="97" t="s">
        <v>226</v>
      </c>
      <c r="E13" s="98">
        <v>4</v>
      </c>
      <c r="F13" s="99" t="s">
        <v>227</v>
      </c>
      <c r="G13" s="100" t="s">
        <v>40</v>
      </c>
    </row>
    <row r="14" spans="1:8" ht="18" customHeight="1">
      <c r="A14" s="94" t="s">
        <v>228</v>
      </c>
      <c r="B14" s="95">
        <v>13</v>
      </c>
      <c r="C14" s="96" t="s">
        <v>229</v>
      </c>
      <c r="D14" s="97" t="s">
        <v>230</v>
      </c>
      <c r="E14" s="98">
        <v>3</v>
      </c>
      <c r="F14" s="99" t="s">
        <v>211</v>
      </c>
      <c r="G14" s="100" t="s">
        <v>24</v>
      </c>
    </row>
    <row r="15" spans="1:8" ht="35.25" customHeight="1">
      <c r="A15" s="94" t="s">
        <v>231</v>
      </c>
      <c r="B15" s="95">
        <v>13</v>
      </c>
      <c r="C15" s="96" t="s">
        <v>30</v>
      </c>
      <c r="D15" s="97" t="s">
        <v>232</v>
      </c>
      <c r="E15" s="98">
        <v>3</v>
      </c>
      <c r="F15" s="99" t="s">
        <v>211</v>
      </c>
      <c r="G15" s="100" t="s">
        <v>24</v>
      </c>
    </row>
    <row r="16" spans="1:8" ht="18" customHeight="1">
      <c r="A16" s="94" t="s">
        <v>233</v>
      </c>
      <c r="B16" s="95">
        <v>13</v>
      </c>
      <c r="C16" s="96" t="s">
        <v>183</v>
      </c>
      <c r="D16" s="114" t="s">
        <v>234</v>
      </c>
      <c r="E16" s="98">
        <v>3</v>
      </c>
      <c r="F16" s="99" t="s">
        <v>211</v>
      </c>
      <c r="G16" s="100" t="s">
        <v>24</v>
      </c>
    </row>
    <row r="17" spans="1:10" ht="18" customHeight="1">
      <c r="A17" s="94" t="s">
        <v>23</v>
      </c>
      <c r="B17" s="95">
        <v>13</v>
      </c>
      <c r="C17" s="96" t="s">
        <v>31</v>
      </c>
      <c r="D17" s="229" t="s">
        <v>235</v>
      </c>
      <c r="E17" s="98">
        <v>9</v>
      </c>
      <c r="F17" s="99" t="s">
        <v>236</v>
      </c>
      <c r="G17" s="100" t="s">
        <v>237</v>
      </c>
    </row>
    <row r="18" spans="1:10" ht="18" customHeight="1">
      <c r="A18" s="94" t="s">
        <v>238</v>
      </c>
      <c r="B18" s="95">
        <v>11</v>
      </c>
      <c r="C18" s="96" t="s">
        <v>239</v>
      </c>
      <c r="D18" s="114" t="s">
        <v>240</v>
      </c>
      <c r="E18" s="98" t="s">
        <v>203</v>
      </c>
      <c r="F18" s="115" t="s">
        <v>240</v>
      </c>
      <c r="G18" s="116" t="s">
        <v>241</v>
      </c>
    </row>
    <row r="19" spans="1:10" ht="18" customHeight="1">
      <c r="A19" s="94" t="s">
        <v>242</v>
      </c>
      <c r="B19" s="95">
        <v>13</v>
      </c>
      <c r="C19" s="96" t="s">
        <v>243</v>
      </c>
      <c r="D19" s="97" t="s">
        <v>244</v>
      </c>
      <c r="E19" s="98">
        <v>3</v>
      </c>
      <c r="F19" s="99" t="s">
        <v>211</v>
      </c>
      <c r="G19" s="100" t="s">
        <v>24</v>
      </c>
    </row>
    <row r="20" spans="1:10" ht="18" customHeight="1">
      <c r="A20" s="94" t="s">
        <v>245</v>
      </c>
      <c r="B20" s="95">
        <v>11</v>
      </c>
      <c r="C20" s="96" t="s">
        <v>246</v>
      </c>
      <c r="D20" s="97" t="s">
        <v>247</v>
      </c>
      <c r="E20" s="98">
        <v>2</v>
      </c>
      <c r="F20" s="99" t="s">
        <v>219</v>
      </c>
      <c r="G20" s="100" t="s">
        <v>220</v>
      </c>
      <c r="H20" s="108" t="s">
        <v>248</v>
      </c>
    </row>
    <row r="21" spans="1:10" ht="18" customHeight="1">
      <c r="A21" s="94" t="s">
        <v>249</v>
      </c>
      <c r="B21" s="95">
        <v>11</v>
      </c>
      <c r="C21" s="96" t="s">
        <v>28</v>
      </c>
      <c r="D21" s="97" t="s">
        <v>250</v>
      </c>
      <c r="E21" s="98">
        <v>1</v>
      </c>
      <c r="F21" s="99" t="s">
        <v>200</v>
      </c>
      <c r="G21" s="100" t="s">
        <v>201</v>
      </c>
    </row>
    <row r="22" spans="1:10" ht="18" customHeight="1">
      <c r="A22" s="94" t="s">
        <v>251</v>
      </c>
      <c r="B22" s="95">
        <v>13</v>
      </c>
      <c r="C22" s="96" t="s">
        <v>252</v>
      </c>
      <c r="D22" s="97" t="s">
        <v>253</v>
      </c>
      <c r="E22" s="98">
        <v>9</v>
      </c>
      <c r="F22" s="99" t="s">
        <v>236</v>
      </c>
      <c r="G22" s="100" t="s">
        <v>237</v>
      </c>
    </row>
    <row r="23" spans="1:10" ht="18" customHeight="1">
      <c r="A23" s="94" t="s">
        <v>254</v>
      </c>
      <c r="B23" s="95"/>
      <c r="C23" s="96" t="s">
        <v>255</v>
      </c>
      <c r="D23" s="97" t="s">
        <v>256</v>
      </c>
      <c r="E23" s="98">
        <v>0</v>
      </c>
      <c r="F23" s="99" t="s">
        <v>197</v>
      </c>
      <c r="G23" s="117"/>
    </row>
    <row r="24" spans="1:10" ht="18" customHeight="1">
      <c r="A24" s="94" t="s">
        <v>257</v>
      </c>
      <c r="B24" s="95">
        <v>11</v>
      </c>
      <c r="C24" s="96" t="s">
        <v>258</v>
      </c>
      <c r="D24" s="97" t="s">
        <v>259</v>
      </c>
      <c r="E24" s="98">
        <v>1</v>
      </c>
      <c r="F24" s="99" t="s">
        <v>200</v>
      </c>
      <c r="G24" s="100" t="s">
        <v>201</v>
      </c>
    </row>
    <row r="25" spans="1:10" ht="18" customHeight="1">
      <c r="A25" s="94" t="s">
        <v>260</v>
      </c>
      <c r="B25" s="95">
        <v>11</v>
      </c>
      <c r="C25" s="96" t="s">
        <v>261</v>
      </c>
      <c r="D25" s="97" t="s">
        <v>262</v>
      </c>
      <c r="E25" s="98">
        <v>8</v>
      </c>
      <c r="F25" s="99" t="s">
        <v>262</v>
      </c>
      <c r="G25" s="100" t="s">
        <v>263</v>
      </c>
    </row>
    <row r="26" spans="1:10" ht="18" customHeight="1">
      <c r="A26" s="118" t="s">
        <v>264</v>
      </c>
      <c r="B26" s="119">
        <v>13</v>
      </c>
      <c r="C26" s="120" t="s">
        <v>265</v>
      </c>
      <c r="D26" s="121" t="s">
        <v>266</v>
      </c>
      <c r="E26" s="122">
        <v>7</v>
      </c>
      <c r="F26" s="123" t="s">
        <v>267</v>
      </c>
      <c r="G26" s="124" t="s">
        <v>268</v>
      </c>
      <c r="H26" s="108" t="s">
        <v>212</v>
      </c>
      <c r="J26" s="125"/>
    </row>
  </sheetData>
  <mergeCells count="5">
    <mergeCell ref="F2:G2"/>
    <mergeCell ref="C1:D1"/>
    <mergeCell ref="B1:B2"/>
    <mergeCell ref="E1:G1"/>
    <mergeCell ref="A1:A2"/>
  </mergeCells>
  <phoneticPr fontId="63" type="noConversion"/>
  <printOptions horizontalCentered="1"/>
  <pageMargins left="0.23611111111111099" right="0.23611111111111099" top="0.74861111111111101" bottom="0.74791666666666701" header="0.31527777777777799" footer="0.31527777777777799"/>
  <pageSetup paperSize="9" orientation="landscape" horizontalDpi="300" verticalDpi="300"/>
  <headerFooter>
    <oddHeader>&amp;L&amp;"Aptos"&amp;10&amp;KFF0000 ASUS_Confidential&amp;1#_x000D_&amp;"新細明體"&amp;12&amp;K000000&amp;"新細明體"&amp;12&amp;K000000&amp;"Aptos,Regular"&amp;1 &amp;K0000ff ASUS_General#_x000D_</oddHeader>
    <oddFooter>&amp;L&amp;"Aptos,Regular"&amp;10 &amp;K0000ff_x000D_# ASUS_General_x000D_&amp;1#&amp;"Aptos"&amp;10&amp;KFF0000 ASUS_Confidential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"/>
  <sheetViews>
    <sheetView zoomScaleNormal="100" workbookViewId="0">
      <selection activeCell="D14" sqref="D14"/>
    </sheetView>
  </sheetViews>
  <sheetFormatPr defaultColWidth="11" defaultRowHeight="16.2"/>
  <cols>
    <col min="2" max="2" width="28.33203125" style="53" customWidth="1"/>
    <col min="3" max="3" width="11" style="47" customWidth="1"/>
    <col min="4" max="4" width="22.33203125" style="47" customWidth="1"/>
    <col min="5" max="7" width="11" style="47" customWidth="1"/>
  </cols>
  <sheetData>
    <row r="1" spans="1:2" ht="45" customHeight="1">
      <c r="A1" s="126" t="s">
        <v>8</v>
      </c>
      <c r="B1" s="126" t="s">
        <v>269</v>
      </c>
    </row>
    <row r="2" spans="1:2" ht="15.75" customHeight="1">
      <c r="A2" s="127" t="s">
        <v>257</v>
      </c>
      <c r="B2" s="127" t="s">
        <v>270</v>
      </c>
    </row>
    <row r="3" spans="1:2" ht="15.75" customHeight="1">
      <c r="A3" s="127" t="s">
        <v>260</v>
      </c>
      <c r="B3" s="127" t="s">
        <v>271</v>
      </c>
    </row>
    <row r="4" spans="1:2" ht="15.75" customHeight="1">
      <c r="A4" s="127" t="s">
        <v>23</v>
      </c>
      <c r="B4" s="127" t="s">
        <v>272</v>
      </c>
    </row>
    <row r="5" spans="1:2" ht="15.75" customHeight="1">
      <c r="A5" s="127" t="s">
        <v>264</v>
      </c>
      <c r="B5" s="127" t="s">
        <v>273</v>
      </c>
    </row>
    <row r="6" spans="1:2" ht="15.75" customHeight="1">
      <c r="A6" s="127" t="s">
        <v>221</v>
      </c>
      <c r="B6" s="127" t="s">
        <v>274</v>
      </c>
    </row>
    <row r="7" spans="1:2" ht="15.75" customHeight="1">
      <c r="A7" s="127" t="s">
        <v>33</v>
      </c>
      <c r="B7" s="127" t="s">
        <v>275</v>
      </c>
    </row>
    <row r="8" spans="1:2" ht="15.75" customHeight="1">
      <c r="A8" s="127" t="s">
        <v>205</v>
      </c>
      <c r="B8" s="127" t="s">
        <v>276</v>
      </c>
    </row>
    <row r="9" spans="1:2" ht="15.75" customHeight="1">
      <c r="A9" s="127" t="s">
        <v>249</v>
      </c>
      <c r="B9" s="127" t="s">
        <v>277</v>
      </c>
    </row>
    <row r="10" spans="1:2" ht="15.75" customHeight="1">
      <c r="A10" s="127" t="s">
        <v>36</v>
      </c>
      <c r="B10" s="127" t="s">
        <v>278</v>
      </c>
    </row>
    <row r="11" spans="1:2" ht="15.75" customHeight="1">
      <c r="A11" s="127" t="s">
        <v>39</v>
      </c>
      <c r="B11" s="127" t="s">
        <v>279</v>
      </c>
    </row>
    <row r="12" spans="1:2" ht="15.75" customHeight="1">
      <c r="A12" s="127" t="s">
        <v>198</v>
      </c>
      <c r="B12" s="127" t="s">
        <v>187</v>
      </c>
    </row>
    <row r="13" spans="1:2" ht="15.75" customHeight="1">
      <c r="A13" s="127" t="s">
        <v>280</v>
      </c>
      <c r="B13" s="127" t="s">
        <v>258</v>
      </c>
    </row>
    <row r="14" spans="1:2" ht="15.75" customHeight="1">
      <c r="B14" s="47"/>
    </row>
    <row r="15" spans="1:2" ht="15.75" customHeight="1">
      <c r="B15" s="47"/>
    </row>
    <row r="16" spans="1:2" ht="15.75" customHeight="1">
      <c r="B16" s="47"/>
    </row>
    <row r="17" spans="2:2" ht="15.75" customHeight="1">
      <c r="B17" s="47"/>
    </row>
    <row r="18" spans="2:2" ht="15.75" customHeight="1">
      <c r="B18" s="47"/>
    </row>
    <row r="19" spans="2:2" ht="15.75" customHeight="1">
      <c r="B19" s="47"/>
    </row>
    <row r="20" spans="2:2" ht="15.75" customHeight="1">
      <c r="B20" s="47"/>
    </row>
    <row r="21" spans="2:2" ht="15.75" customHeight="1">
      <c r="B21" s="47"/>
    </row>
    <row r="22" spans="2:2" ht="15.75" customHeight="1">
      <c r="B22" s="47"/>
    </row>
    <row r="23" spans="2:2" ht="15.75" customHeight="1">
      <c r="B23" s="47"/>
    </row>
    <row r="24" spans="2:2" ht="15.75" customHeight="1">
      <c r="B24" s="47"/>
    </row>
    <row r="25" spans="2:2" ht="15.75" customHeight="1">
      <c r="B25" s="47"/>
    </row>
    <row r="26" spans="2:2" ht="15.75" customHeight="1">
      <c r="B26" s="47"/>
    </row>
    <row r="27" spans="2:2" s="47" customFormat="1" ht="15.75" customHeight="1"/>
    <row r="28" spans="2:2" s="47" customFormat="1" ht="15.75" customHeight="1"/>
    <row r="29" spans="2:2" s="47" customFormat="1" ht="15.75" customHeight="1"/>
    <row r="30" spans="2:2" s="47" customFormat="1" ht="15.75" customHeight="1"/>
    <row r="31" spans="2:2" s="47" customFormat="1" ht="15.75" customHeight="1"/>
    <row r="32" spans="2:2" s="47" customFormat="1" ht="15.75" customHeight="1"/>
    <row r="33" s="47" customFormat="1" ht="15.75" customHeight="1"/>
    <row r="34" s="47" customFormat="1" ht="15.75" customHeight="1"/>
    <row r="35" s="47" customFormat="1" ht="15.75" customHeight="1"/>
    <row r="36" s="47" customFormat="1" ht="15.75" customHeight="1"/>
    <row r="37" s="47" customFormat="1" ht="15.75" customHeight="1"/>
    <row r="38" s="47" customFormat="1" ht="15.75" customHeight="1"/>
    <row r="39" s="47" customFormat="1" ht="15.75" customHeight="1"/>
    <row r="40" s="47" customFormat="1" ht="15.75" customHeight="1"/>
    <row r="41" s="47" customFormat="1" ht="15.75" customHeight="1"/>
    <row r="42" s="47" customFormat="1" ht="15.75" customHeight="1"/>
    <row r="43" s="47" customFormat="1" ht="15.75" customHeight="1"/>
  </sheetData>
  <phoneticPr fontId="63" type="noConversion"/>
  <pageMargins left="0.75" right="0.75" top="1" bottom="1" header="0.5" footer="0.5"/>
  <pageSetup paperSize="9" orientation="portrait" horizontalDpi="300" verticalDpi="300"/>
  <headerFooter>
    <oddHeader>&amp;L&amp;"Aptos"&amp;10&amp;KFF0000 ASUS_Confidential&amp;1#_x000D_&amp;"新細明體"&amp;12&amp;K000000&amp;"新細明體"&amp;12&amp;K000000&amp;"Aptos,Regular"&amp;1 &amp;K0000ff ASUS_General#_x000D_</oddHeader>
    <oddFooter>&amp;L&amp;"Aptos,Regular"&amp;10 &amp;K0000ff_x000D_# ASUS_General_x000D_&amp;1#&amp;"Aptos"&amp;10&amp;KFF0000 ASUS_Confidential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5"/>
  <sheetViews>
    <sheetView topLeftCell="A18" zoomScaleNormal="100" workbookViewId="0">
      <selection activeCell="H20" sqref="H20"/>
    </sheetView>
  </sheetViews>
  <sheetFormatPr defaultColWidth="11" defaultRowHeight="16.2"/>
  <cols>
    <col min="1" max="1" width="17.6640625" style="53" customWidth="1"/>
    <col min="2" max="2" width="14.21875" style="128" customWidth="1"/>
    <col min="3" max="3" width="29.33203125" style="53" customWidth="1"/>
    <col min="4" max="4" width="11" style="47" customWidth="1"/>
    <col min="5" max="5" width="22.33203125" style="47" customWidth="1"/>
    <col min="6" max="8" width="11" style="47" customWidth="1"/>
  </cols>
  <sheetData>
    <row r="1" spans="1:8" ht="15.75" customHeight="1">
      <c r="A1" s="219" t="s">
        <v>281</v>
      </c>
      <c r="B1" s="220"/>
      <c r="C1" s="220"/>
    </row>
    <row r="2" spans="1:8" ht="15.75" customHeight="1">
      <c r="A2" s="221"/>
      <c r="B2" s="222"/>
      <c r="C2" s="186"/>
    </row>
    <row r="3" spans="1:8" ht="15.75" customHeight="1">
      <c r="A3" s="223"/>
      <c r="B3" s="224"/>
      <c r="C3" s="224"/>
    </row>
    <row r="4" spans="1:8" ht="18.75" customHeight="1">
      <c r="A4" s="129" t="s">
        <v>282</v>
      </c>
      <c r="B4" s="130" t="s">
        <v>283</v>
      </c>
      <c r="C4" s="131" t="s">
        <v>284</v>
      </c>
    </row>
    <row r="5" spans="1:8" ht="18.75" customHeight="1">
      <c r="A5" s="129" t="s">
        <v>282</v>
      </c>
      <c r="B5" s="130" t="s">
        <v>285</v>
      </c>
      <c r="C5" s="131" t="s">
        <v>286</v>
      </c>
    </row>
    <row r="6" spans="1:8" ht="18.75" customHeight="1">
      <c r="A6" s="129" t="s">
        <v>282</v>
      </c>
      <c r="B6" s="130" t="s">
        <v>189</v>
      </c>
      <c r="C6" s="131" t="s">
        <v>287</v>
      </c>
    </row>
    <row r="7" spans="1:8" ht="18.75" customHeight="1">
      <c r="A7" s="129" t="s">
        <v>282</v>
      </c>
      <c r="B7" s="130" t="s">
        <v>288</v>
      </c>
      <c r="C7" s="131" t="s">
        <v>289</v>
      </c>
    </row>
    <row r="8" spans="1:8" ht="18.75" customHeight="1">
      <c r="A8" s="129" t="s">
        <v>282</v>
      </c>
      <c r="B8" s="130" t="s">
        <v>290</v>
      </c>
      <c r="C8" s="131" t="s">
        <v>291</v>
      </c>
    </row>
    <row r="9" spans="1:8" ht="18.75" customHeight="1">
      <c r="A9" s="129" t="s">
        <v>282</v>
      </c>
      <c r="B9" s="130" t="s">
        <v>292</v>
      </c>
      <c r="C9" s="131" t="s">
        <v>293</v>
      </c>
    </row>
    <row r="10" spans="1:8" ht="18.75" customHeight="1">
      <c r="A10" s="129" t="s">
        <v>282</v>
      </c>
      <c r="B10" s="130" t="s">
        <v>294</v>
      </c>
      <c r="C10" s="131" t="s">
        <v>295</v>
      </c>
    </row>
    <row r="11" spans="1:8" ht="18.75" customHeight="1">
      <c r="A11" s="129" t="s">
        <v>282</v>
      </c>
      <c r="B11" s="130" t="s">
        <v>296</v>
      </c>
      <c r="C11" s="131" t="s">
        <v>297</v>
      </c>
    </row>
    <row r="12" spans="1:8" ht="18.75" customHeight="1">
      <c r="A12" s="129" t="s">
        <v>282</v>
      </c>
      <c r="B12" s="130" t="s">
        <v>298</v>
      </c>
      <c r="C12" s="131" t="s">
        <v>299</v>
      </c>
      <c r="H12"/>
    </row>
    <row r="13" spans="1:8" ht="18.75" customHeight="1">
      <c r="A13" s="129" t="s">
        <v>282</v>
      </c>
      <c r="B13" s="130" t="s">
        <v>300</v>
      </c>
      <c r="C13" s="131" t="s">
        <v>301</v>
      </c>
    </row>
    <row r="14" spans="1:8" ht="18.75" customHeight="1">
      <c r="A14" s="129" t="s">
        <v>282</v>
      </c>
      <c r="B14" s="130" t="s">
        <v>302</v>
      </c>
      <c r="C14" s="131" t="s">
        <v>303</v>
      </c>
    </row>
    <row r="15" spans="1:8" ht="18.75" customHeight="1">
      <c r="A15" s="129" t="s">
        <v>282</v>
      </c>
      <c r="B15" s="130" t="s">
        <v>304</v>
      </c>
      <c r="C15" s="131" t="s">
        <v>305</v>
      </c>
    </row>
    <row r="16" spans="1:8" ht="15.75" customHeight="1">
      <c r="A16" s="129" t="s">
        <v>282</v>
      </c>
      <c r="B16" s="130" t="s">
        <v>306</v>
      </c>
      <c r="C16" s="131" t="s">
        <v>307</v>
      </c>
    </row>
    <row r="17" spans="1:3" ht="15.75" customHeight="1">
      <c r="A17" s="129" t="s">
        <v>282</v>
      </c>
      <c r="B17" s="130" t="s">
        <v>308</v>
      </c>
      <c r="C17" s="131" t="s">
        <v>309</v>
      </c>
    </row>
    <row r="18" spans="1:3" ht="15.75" customHeight="1">
      <c r="A18" s="129" t="s">
        <v>282</v>
      </c>
      <c r="B18" s="130" t="s">
        <v>310</v>
      </c>
      <c r="C18" s="131" t="s">
        <v>311</v>
      </c>
    </row>
    <row r="19" spans="1:3" ht="15.75" customHeight="1">
      <c r="A19" s="129" t="s">
        <v>282</v>
      </c>
      <c r="B19" s="130" t="s">
        <v>312</v>
      </c>
      <c r="C19" s="131" t="s">
        <v>313</v>
      </c>
    </row>
    <row r="20" spans="1:3" ht="15.75" customHeight="1">
      <c r="A20" s="129" t="s">
        <v>282</v>
      </c>
      <c r="B20" s="130" t="s">
        <v>314</v>
      </c>
      <c r="C20" s="131" t="s">
        <v>315</v>
      </c>
    </row>
    <row r="21" spans="1:3" ht="15.75" customHeight="1">
      <c r="A21" s="129" t="s">
        <v>282</v>
      </c>
      <c r="B21" s="130" t="s">
        <v>316</v>
      </c>
      <c r="C21" s="131" t="s">
        <v>317</v>
      </c>
    </row>
    <row r="22" spans="1:3" ht="18.75" customHeight="1">
      <c r="A22" s="129" t="s">
        <v>282</v>
      </c>
      <c r="B22" s="130" t="s">
        <v>318</v>
      </c>
      <c r="C22" s="131" t="s">
        <v>319</v>
      </c>
    </row>
    <row r="23" spans="1:3" ht="18.75" customHeight="1">
      <c r="A23" s="129" t="s">
        <v>282</v>
      </c>
      <c r="B23" s="130" t="s">
        <v>320</v>
      </c>
      <c r="C23" s="131" t="s">
        <v>321</v>
      </c>
    </row>
    <row r="24" spans="1:3" ht="15.75" customHeight="1">
      <c r="A24" s="129" t="s">
        <v>282</v>
      </c>
      <c r="B24" s="130" t="s">
        <v>322</v>
      </c>
      <c r="C24" s="131" t="s">
        <v>323</v>
      </c>
    </row>
    <row r="25" spans="1:3" ht="15.75" customHeight="1">
      <c r="B25" s="130"/>
      <c r="C25" s="129"/>
    </row>
    <row r="26" spans="1:3" ht="15.75" customHeight="1">
      <c r="A26" s="47"/>
      <c r="B26" s="130"/>
      <c r="C26" s="129"/>
    </row>
    <row r="27" spans="1:3" ht="15.75" customHeight="1">
      <c r="A27" s="47"/>
      <c r="B27" s="130"/>
      <c r="C27" s="129"/>
    </row>
    <row r="28" spans="1:3" ht="18.75" customHeight="1">
      <c r="A28" s="132" t="s">
        <v>324</v>
      </c>
      <c r="B28" s="133" t="s">
        <v>325</v>
      </c>
      <c r="C28" s="134" t="s">
        <v>289</v>
      </c>
    </row>
    <row r="29" spans="1:3" ht="18.75" customHeight="1">
      <c r="A29" s="132" t="s">
        <v>324</v>
      </c>
      <c r="B29" s="133" t="s">
        <v>326</v>
      </c>
      <c r="C29" s="134" t="s">
        <v>291</v>
      </c>
    </row>
    <row r="30" spans="1:3" ht="15.75" customHeight="1">
      <c r="A30" s="47"/>
      <c r="B30" s="135"/>
    </row>
    <row r="31" spans="1:3" ht="15.75" customHeight="1">
      <c r="A31" s="47"/>
      <c r="B31" s="135"/>
      <c r="C31" s="47"/>
    </row>
    <row r="32" spans="1:3" ht="15.75" customHeight="1">
      <c r="A32" s="47"/>
      <c r="B32" s="135"/>
      <c r="C32" s="47"/>
    </row>
    <row r="33" spans="1:3" ht="15.75" customHeight="1">
      <c r="A33" s="47"/>
      <c r="B33" s="135"/>
      <c r="C33" s="47"/>
    </row>
    <row r="34" spans="1:3" ht="15.75" customHeight="1">
      <c r="A34" s="47"/>
      <c r="B34" s="135"/>
      <c r="C34" s="47"/>
    </row>
    <row r="35" spans="1:3" ht="15.75" customHeight="1">
      <c r="A35" s="47"/>
      <c r="B35" s="135"/>
      <c r="C35" s="47"/>
    </row>
    <row r="36" spans="1:3" ht="15.75" customHeight="1">
      <c r="A36" s="47"/>
      <c r="B36" s="135"/>
      <c r="C36" s="47"/>
    </row>
    <row r="37" spans="1:3" ht="15.75" customHeight="1">
      <c r="A37" s="47"/>
      <c r="B37" s="135"/>
      <c r="C37" s="47"/>
    </row>
    <row r="38" spans="1:3" ht="15.75" customHeight="1">
      <c r="A38" s="47"/>
      <c r="B38" s="135"/>
      <c r="C38" s="47"/>
    </row>
    <row r="39" spans="1:3" ht="15.75" customHeight="1">
      <c r="A39" s="47"/>
      <c r="B39" s="135"/>
      <c r="C39" s="47"/>
    </row>
    <row r="40" spans="1:3" s="47" customFormat="1" ht="15.75" customHeight="1">
      <c r="B40" s="135"/>
    </row>
    <row r="41" spans="1:3" s="47" customFormat="1" ht="15.75" customHeight="1">
      <c r="B41" s="135"/>
    </row>
    <row r="42" spans="1:3" s="47" customFormat="1" ht="15.75" customHeight="1">
      <c r="B42" s="135"/>
    </row>
    <row r="43" spans="1:3" s="47" customFormat="1" ht="15.75" customHeight="1">
      <c r="B43" s="135"/>
    </row>
    <row r="44" spans="1:3" s="47" customFormat="1" ht="15.75" customHeight="1">
      <c r="B44" s="135"/>
    </row>
    <row r="45" spans="1:3" s="47" customFormat="1" ht="15.75" customHeight="1">
      <c r="B45" s="135"/>
    </row>
    <row r="46" spans="1:3" s="47" customFormat="1" ht="15.75" customHeight="1">
      <c r="B46" s="135"/>
    </row>
    <row r="47" spans="1:3" s="47" customFormat="1" ht="15.75" customHeight="1">
      <c r="B47" s="135"/>
    </row>
    <row r="48" spans="1:3" s="47" customFormat="1" ht="15.75" customHeight="1">
      <c r="B48" s="135"/>
    </row>
    <row r="49" spans="1:3" s="47" customFormat="1" ht="15.75" customHeight="1">
      <c r="B49" s="135"/>
    </row>
    <row r="50" spans="1:3" s="47" customFormat="1" ht="15.75" customHeight="1">
      <c r="B50" s="135"/>
    </row>
    <row r="51" spans="1:3" s="47" customFormat="1" ht="15.75" customHeight="1">
      <c r="B51" s="135"/>
    </row>
    <row r="52" spans="1:3" s="47" customFormat="1" ht="15.75" customHeight="1">
      <c r="B52" s="135"/>
    </row>
    <row r="53" spans="1:3" s="47" customFormat="1" ht="15.75" customHeight="1">
      <c r="B53" s="135"/>
    </row>
    <row r="54" spans="1:3" s="47" customFormat="1" ht="15.75" customHeight="1">
      <c r="B54" s="135"/>
    </row>
    <row r="55" spans="1:3" s="47" customFormat="1" ht="15.75" customHeight="1">
      <c r="B55" s="135"/>
    </row>
    <row r="56" spans="1:3" s="47" customFormat="1" ht="15.75" customHeight="1">
      <c r="B56" s="135"/>
    </row>
    <row r="57" spans="1:3" ht="15.75" customHeight="1">
      <c r="A57" s="47"/>
      <c r="B57" s="135"/>
      <c r="C57" s="47"/>
    </row>
    <row r="58" spans="1:3" ht="15.75" customHeight="1">
      <c r="A58" s="47"/>
      <c r="B58" s="135"/>
      <c r="C58" s="47"/>
    </row>
    <row r="59" spans="1:3" ht="15.75" customHeight="1">
      <c r="A59" s="47"/>
      <c r="B59" s="135"/>
      <c r="C59" s="47"/>
    </row>
    <row r="60" spans="1:3" ht="15.75" customHeight="1">
      <c r="A60" s="47"/>
      <c r="B60" s="135"/>
      <c r="C60" s="47"/>
    </row>
    <row r="61" spans="1:3" ht="15.75" customHeight="1">
      <c r="A61" s="47"/>
      <c r="B61" s="135"/>
      <c r="C61" s="47"/>
    </row>
    <row r="62" spans="1:3" ht="15.75" customHeight="1">
      <c r="A62" s="47"/>
      <c r="B62" s="135"/>
      <c r="C62" s="47"/>
    </row>
    <row r="63" spans="1:3" ht="15.75" customHeight="1">
      <c r="B63" s="135"/>
      <c r="C63" s="47"/>
    </row>
    <row r="64" spans="1:3" ht="15.75" customHeight="1">
      <c r="B64" s="135"/>
      <c r="C64" s="47"/>
    </row>
    <row r="65" spans="2:3" ht="15.75" customHeight="1">
      <c r="B65" s="135"/>
      <c r="C65" s="47"/>
    </row>
  </sheetData>
  <mergeCells count="1">
    <mergeCell ref="A1:C3"/>
  </mergeCells>
  <phoneticPr fontId="63" type="noConversion"/>
  <pageMargins left="0.75" right="0.75" top="1" bottom="1" header="0.5" footer="0.5"/>
  <pageSetup paperSize="9" orientation="portrait" horizontalDpi="300" verticalDpi="300"/>
  <headerFooter>
    <oddHeader>&amp;L&amp;"Aptos"&amp;10&amp;KFF0000 ASUS_Confidential&amp;1#_x000D_&amp;"新細明體"&amp;12&amp;K000000&amp;"新細明體"&amp;12&amp;K000000&amp;"Aptos,Regular"&amp;1 &amp;K0000ff ASUS_General#_x000D_</oddHeader>
    <oddFooter>&amp;L&amp;"Aptos,Regular"&amp;10 &amp;K0000ff_x000D_# ASUS_General_x000D_&amp;1#&amp;"Aptos"&amp;10&amp;KFF0000 ASUS_Confidential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6"/>
  <sheetViews>
    <sheetView zoomScaleNormal="100" workbookViewId="0">
      <selection activeCell="H18" sqref="H18"/>
    </sheetView>
  </sheetViews>
  <sheetFormatPr defaultColWidth="11" defaultRowHeight="16.2"/>
  <cols>
    <col min="1" max="1" width="12" style="136" customWidth="1"/>
    <col min="2" max="2" width="35.33203125" style="53" customWidth="1"/>
    <col min="3" max="3" width="11" style="47" customWidth="1"/>
    <col min="4" max="4" width="22.33203125" style="47" customWidth="1"/>
    <col min="5" max="7" width="11" style="47" customWidth="1"/>
  </cols>
  <sheetData>
    <row r="1" spans="1:2" ht="15.75" customHeight="1">
      <c r="A1" s="225" t="s">
        <v>327</v>
      </c>
      <c r="B1" s="226"/>
    </row>
    <row r="2" spans="1:2" ht="15.75" customHeight="1">
      <c r="A2" s="221"/>
      <c r="B2" s="227"/>
    </row>
    <row r="3" spans="1:2" ht="15.75" customHeight="1">
      <c r="A3" s="223"/>
      <c r="B3" s="228"/>
    </row>
    <row r="4" spans="1:2" ht="18.75" customHeight="1">
      <c r="A4" s="137" t="s">
        <v>27</v>
      </c>
      <c r="B4" s="138" t="s">
        <v>328</v>
      </c>
    </row>
    <row r="5" spans="1:2" ht="18.75" customHeight="1">
      <c r="A5" s="137" t="s">
        <v>203</v>
      </c>
      <c r="B5" s="138" t="s">
        <v>329</v>
      </c>
    </row>
    <row r="6" spans="1:2" ht="18.75" customHeight="1">
      <c r="A6" s="137" t="s">
        <v>54</v>
      </c>
      <c r="B6" s="138" t="s">
        <v>330</v>
      </c>
    </row>
    <row r="7" spans="1:2" ht="18.75" customHeight="1">
      <c r="A7" s="137" t="s">
        <v>331</v>
      </c>
      <c r="B7" s="138" t="s">
        <v>332</v>
      </c>
    </row>
    <row r="8" spans="1:2" ht="15.75" customHeight="1">
      <c r="A8" s="137" t="s">
        <v>209</v>
      </c>
      <c r="B8" s="138" t="s">
        <v>313</v>
      </c>
    </row>
    <row r="9" spans="1:2" ht="15.75" customHeight="1">
      <c r="A9" s="137" t="s">
        <v>35</v>
      </c>
      <c r="B9" s="138" t="s">
        <v>311</v>
      </c>
    </row>
    <row r="10" spans="1:2" ht="15.75" customHeight="1">
      <c r="A10" s="137" t="s">
        <v>26</v>
      </c>
      <c r="B10" s="138" t="s">
        <v>315</v>
      </c>
    </row>
    <row r="11" spans="1:2" ht="15.75" customHeight="1">
      <c r="A11" s="137" t="s">
        <v>217</v>
      </c>
      <c r="B11" s="138" t="s">
        <v>307</v>
      </c>
    </row>
    <row r="12" spans="1:2" ht="18.75" customHeight="1">
      <c r="A12" s="137" t="s">
        <v>25</v>
      </c>
      <c r="B12" s="139" t="s">
        <v>333</v>
      </c>
    </row>
    <row r="13" spans="1:2" ht="15.75" customHeight="1">
      <c r="A13" s="137" t="s">
        <v>38</v>
      </c>
      <c r="B13" s="138" t="s">
        <v>309</v>
      </c>
    </row>
    <row r="14" spans="1:2" ht="15.75" customHeight="1">
      <c r="A14" s="137" t="s">
        <v>41</v>
      </c>
      <c r="B14" s="138" t="s">
        <v>317</v>
      </c>
    </row>
    <row r="15" spans="1:2" ht="15.75" customHeight="1">
      <c r="A15" s="137" t="s">
        <v>229</v>
      </c>
      <c r="B15" s="138" t="s">
        <v>334</v>
      </c>
    </row>
    <row r="16" spans="1:2" ht="15.75" customHeight="1">
      <c r="A16" s="137" t="s">
        <v>30</v>
      </c>
      <c r="B16" s="138" t="s">
        <v>335</v>
      </c>
    </row>
    <row r="17" spans="1:2" ht="15.75" customHeight="1">
      <c r="A17" s="137" t="s">
        <v>183</v>
      </c>
      <c r="B17" s="138" t="s">
        <v>336</v>
      </c>
    </row>
    <row r="18" spans="1:2" ht="18.75" customHeight="1">
      <c r="A18" s="137" t="s">
        <v>31</v>
      </c>
      <c r="B18" s="139" t="s">
        <v>337</v>
      </c>
    </row>
    <row r="19" spans="1:2" ht="15.75" customHeight="1">
      <c r="A19" s="137" t="s">
        <v>239</v>
      </c>
      <c r="B19" s="138" t="s">
        <v>338</v>
      </c>
    </row>
    <row r="20" spans="1:2" ht="15.75" customHeight="1">
      <c r="A20" s="137" t="s">
        <v>339</v>
      </c>
      <c r="B20" s="138" t="s">
        <v>340</v>
      </c>
    </row>
    <row r="21" spans="1:2" ht="15.75" customHeight="1">
      <c r="A21" s="137" t="s">
        <v>243</v>
      </c>
      <c r="B21" s="138" t="s">
        <v>323</v>
      </c>
    </row>
    <row r="22" spans="1:2" ht="15.75" customHeight="1">
      <c r="A22" s="137" t="s">
        <v>246</v>
      </c>
      <c r="B22" s="138"/>
    </row>
    <row r="23" spans="1:2" ht="15.75" customHeight="1">
      <c r="A23" s="137" t="s">
        <v>28</v>
      </c>
      <c r="B23" s="138"/>
    </row>
    <row r="24" spans="1:2" ht="15.75" customHeight="1">
      <c r="A24" s="137" t="s">
        <v>252</v>
      </c>
      <c r="B24" s="138"/>
    </row>
    <row r="25" spans="1:2" ht="15.75" customHeight="1">
      <c r="A25" s="137" t="s">
        <v>32</v>
      </c>
      <c r="B25" s="138"/>
    </row>
    <row r="26" spans="1:2" ht="15.75" customHeight="1">
      <c r="A26" s="137" t="s">
        <v>255</v>
      </c>
      <c r="B26" s="138"/>
    </row>
    <row r="27" spans="1:2" ht="15.75" customHeight="1">
      <c r="A27" s="137" t="s">
        <v>258</v>
      </c>
      <c r="B27" s="138"/>
    </row>
    <row r="28" spans="1:2" ht="15.75" customHeight="1">
      <c r="A28" s="137" t="s">
        <v>261</v>
      </c>
      <c r="B28" s="138"/>
    </row>
    <row r="29" spans="1:2" ht="15.75" customHeight="1">
      <c r="A29" s="137" t="s">
        <v>265</v>
      </c>
      <c r="B29" s="138"/>
    </row>
    <row r="30" spans="1:2" ht="15.75" customHeight="1">
      <c r="A30" s="137">
        <v>0</v>
      </c>
      <c r="B30" s="138"/>
    </row>
    <row r="31" spans="1:2" ht="15.75" customHeight="1">
      <c r="A31" s="137">
        <v>1</v>
      </c>
      <c r="B31" s="138"/>
    </row>
    <row r="32" spans="1:2" ht="15.75" customHeight="1">
      <c r="A32" s="137">
        <v>2</v>
      </c>
      <c r="B32" s="138"/>
    </row>
    <row r="33" spans="1:2" ht="15.75" customHeight="1">
      <c r="A33" s="137">
        <v>3</v>
      </c>
      <c r="B33" s="138"/>
    </row>
    <row r="34" spans="1:2" ht="15.75" customHeight="1">
      <c r="A34" s="137">
        <v>4</v>
      </c>
      <c r="B34" s="138"/>
    </row>
    <row r="35" spans="1:2" ht="15.75" customHeight="1">
      <c r="A35" s="137">
        <v>5</v>
      </c>
      <c r="B35" s="138"/>
    </row>
    <row r="36" spans="1:2" ht="15.75" customHeight="1">
      <c r="A36" s="137">
        <v>6</v>
      </c>
      <c r="B36" s="138"/>
    </row>
    <row r="37" spans="1:2" ht="15.75" customHeight="1">
      <c r="A37" s="137">
        <v>7</v>
      </c>
      <c r="B37" s="138"/>
    </row>
    <row r="38" spans="1:2" ht="15.75" customHeight="1">
      <c r="A38" s="137">
        <v>8</v>
      </c>
      <c r="B38" s="138"/>
    </row>
    <row r="39" spans="1:2" ht="15.75" customHeight="1">
      <c r="A39" s="137">
        <v>9</v>
      </c>
      <c r="B39" s="138"/>
    </row>
    <row r="40" spans="1:2" s="47" customFormat="1" ht="15.75" customHeight="1">
      <c r="A40" s="140"/>
    </row>
    <row r="41" spans="1:2" s="47" customFormat="1" ht="15.75" customHeight="1">
      <c r="A41" s="140"/>
    </row>
    <row r="42" spans="1:2" s="47" customFormat="1" ht="15.75" customHeight="1">
      <c r="A42" s="140"/>
    </row>
    <row r="43" spans="1:2" s="47" customFormat="1" ht="15.75" customHeight="1">
      <c r="A43" s="140"/>
    </row>
    <row r="44" spans="1:2" s="47" customFormat="1" ht="15.75" customHeight="1">
      <c r="A44" s="140"/>
    </row>
    <row r="45" spans="1:2" s="47" customFormat="1" ht="15.75" customHeight="1">
      <c r="A45" s="140"/>
    </row>
    <row r="46" spans="1:2" s="47" customFormat="1" ht="15.75" customHeight="1">
      <c r="A46" s="140"/>
    </row>
    <row r="47" spans="1:2" s="47" customFormat="1" ht="15.75" customHeight="1">
      <c r="A47" s="140"/>
    </row>
    <row r="48" spans="1:2" s="47" customFormat="1" ht="15.75" customHeight="1">
      <c r="A48" s="140"/>
    </row>
    <row r="49" spans="1:1" s="47" customFormat="1" ht="15.75" customHeight="1">
      <c r="A49" s="140"/>
    </row>
    <row r="50" spans="1:1" s="47" customFormat="1" ht="15.75" customHeight="1">
      <c r="A50" s="140"/>
    </row>
    <row r="51" spans="1:1" s="47" customFormat="1" ht="15.75" customHeight="1">
      <c r="A51" s="140"/>
    </row>
    <row r="52" spans="1:1" s="47" customFormat="1" ht="15.75" customHeight="1">
      <c r="A52" s="140"/>
    </row>
    <row r="53" spans="1:1" s="47" customFormat="1" ht="15.75" customHeight="1">
      <c r="A53" s="140"/>
    </row>
    <row r="54" spans="1:1" s="47" customFormat="1" ht="15.75" customHeight="1">
      <c r="A54" s="140"/>
    </row>
    <row r="55" spans="1:1" s="47" customFormat="1" ht="15.75" customHeight="1">
      <c r="A55" s="140"/>
    </row>
    <row r="56" spans="1:1" s="47" customFormat="1" ht="15.75" customHeight="1">
      <c r="A56" s="140"/>
    </row>
  </sheetData>
  <mergeCells count="1">
    <mergeCell ref="A1:B3"/>
  </mergeCells>
  <phoneticPr fontId="63" type="noConversion"/>
  <pageMargins left="0.75" right="0.75" top="1" bottom="1" header="0.5" footer="0.5"/>
  <pageSetup paperSize="9" orientation="portrait" horizontalDpi="300" verticalDpi="300"/>
  <headerFooter>
    <oddHeader>&amp;L&amp;"Aptos"&amp;10&amp;KFF0000 ASUS_Confidential&amp;1#_x000D_&amp;"新細明體"&amp;12&amp;K000000&amp;"新細明體"&amp;12&amp;K000000&amp;"Aptos,Regular"&amp;1 &amp;K0000ff ASUS_General#_x000D_</oddHeader>
    <oddFooter>&amp;L&amp;"Aptos,Regular"&amp;10 &amp;K0000ff_x000D_# ASUS_General_x000D_&amp;1#&amp;"Aptos"&amp;10&amp;KFF0000 ASUS_Confidential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D11" sqref="D11"/>
    </sheetView>
  </sheetViews>
  <sheetFormatPr defaultRowHeight="16.2"/>
  <cols>
    <col min="1" max="1" width="14" style="141" customWidth="1"/>
    <col min="2" max="2" width="27.88671875" style="141" customWidth="1"/>
    <col min="3" max="3" width="8.88671875" style="141" customWidth="1"/>
    <col min="4" max="16384" width="8.88671875" style="141"/>
  </cols>
  <sheetData>
    <row r="1" spans="1:2" ht="31.8" customHeight="1">
      <c r="A1" s="143" t="s">
        <v>14</v>
      </c>
      <c r="B1" s="144"/>
    </row>
    <row r="2" spans="1:2" ht="28.2" customHeight="1">
      <c r="A2" s="142">
        <v>0</v>
      </c>
      <c r="B2" s="142" t="s">
        <v>341</v>
      </c>
    </row>
    <row r="3" spans="1:2" ht="28.2" customHeight="1">
      <c r="A3" s="142" t="s">
        <v>27</v>
      </c>
      <c r="B3" s="142" t="s">
        <v>342</v>
      </c>
    </row>
    <row r="4" spans="1:2" ht="28.2" customHeight="1">
      <c r="A4" s="142" t="s">
        <v>203</v>
      </c>
      <c r="B4" s="142" t="s">
        <v>343</v>
      </c>
    </row>
    <row r="5" spans="1:2" ht="28.2" customHeight="1">
      <c r="A5" s="142" t="s">
        <v>255</v>
      </c>
      <c r="B5" s="142" t="s">
        <v>344</v>
      </c>
    </row>
  </sheetData>
  <mergeCells count="1">
    <mergeCell ref="A1:B1"/>
  </mergeCells>
  <phoneticPr fontId="63" type="noConversion"/>
  <pageMargins left="0.7" right="0.7" top="0.75" bottom="0.75" header="0.3" footer="0.3"/>
  <headerFooter>
    <oddHeader>&amp;L&amp;"Aptos"&amp;10&amp;KFF0000 ASUS_Confidential&amp;1#_x000D_&amp;"新細明體"&amp;12&amp;K000000&amp;"Aptos"&amp;1 &amp;KFF0000 ASUS_Confidential#_x000D_</oddHeader>
    <oddFooter>&amp;L&amp;"Aptos"&amp;10 &amp;KFF0000_x000D_# ASUS_Confidential_x000D_&amp;1#&amp;"Aptos"&amp;10&amp;KFF0000 ASUS_Confidential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zoomScale="85" zoomScaleNormal="85" workbookViewId="0">
      <selection activeCell="L8" sqref="L8"/>
    </sheetView>
  </sheetViews>
  <sheetFormatPr defaultRowHeight="16.2"/>
  <cols>
    <col min="1" max="2" width="37.33203125" style="141" bestFit="1" customWidth="1"/>
    <col min="3" max="3" width="8.88671875" style="141" customWidth="1"/>
    <col min="4" max="16384" width="8.88671875" style="141"/>
  </cols>
  <sheetData>
    <row r="1" spans="1:2" ht="34.200000000000003" customHeight="1">
      <c r="A1" s="143" t="s">
        <v>21</v>
      </c>
      <c r="B1" s="144"/>
    </row>
    <row r="2" spans="1:2" ht="34.200000000000003" customHeight="1">
      <c r="A2" s="142">
        <v>0</v>
      </c>
      <c r="B2" s="142" t="s">
        <v>345</v>
      </c>
    </row>
    <row r="3" spans="1:2" ht="34.200000000000003" customHeight="1">
      <c r="A3" s="142">
        <v>9</v>
      </c>
      <c r="B3" s="142" t="s">
        <v>346</v>
      </c>
    </row>
    <row r="4" spans="1:2" ht="34.200000000000003" customHeight="1">
      <c r="A4" s="142" t="s">
        <v>54</v>
      </c>
      <c r="B4" s="142" t="s">
        <v>347</v>
      </c>
    </row>
    <row r="5" spans="1:2" ht="34.200000000000003" customHeight="1">
      <c r="A5" s="142" t="s">
        <v>246</v>
      </c>
      <c r="B5" s="142" t="s">
        <v>348</v>
      </c>
    </row>
    <row r="6" spans="1:2" ht="34.200000000000003" customHeight="1">
      <c r="A6" s="142" t="s">
        <v>28</v>
      </c>
      <c r="B6" s="142" t="s">
        <v>349</v>
      </c>
    </row>
    <row r="7" spans="1:2" ht="34.200000000000003" customHeight="1">
      <c r="A7" s="142" t="s">
        <v>32</v>
      </c>
      <c r="B7" s="142" t="s">
        <v>350</v>
      </c>
    </row>
    <row r="8" spans="1:2" ht="34.200000000000003" customHeight="1"/>
  </sheetData>
  <mergeCells count="1">
    <mergeCell ref="A1:B1"/>
  </mergeCells>
  <phoneticPr fontId="63" type="noConversion"/>
  <pageMargins left="0.7" right="0.7" top="0.75" bottom="0.75" header="0.3" footer="0.3"/>
  <headerFooter>
    <oddHeader>&amp;L&amp;"Aptos"&amp;10&amp;KFF0000 ASUS_Confidential&amp;1#_x000D_&amp;"新細明體"&amp;12&amp;K000000&amp;"Aptos"&amp;1 &amp;KFF0000 ASUS_Confidential#_x000D_</oddHeader>
    <oddFooter>&amp;L&amp;"Aptos"&amp;10 &amp;KFF0000_x000D_# ASUS_Confidential_x000D_&amp;1#&amp;"Aptos"&amp;10&amp;KFF0000 ASUS_Confidential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selection activeCell="E11" sqref="E11"/>
    </sheetView>
  </sheetViews>
  <sheetFormatPr defaultRowHeight="16.2"/>
  <cols>
    <col min="1" max="2" width="30.77734375" style="141" customWidth="1"/>
    <col min="3" max="3" width="8.88671875" style="141" customWidth="1"/>
    <col min="4" max="16384" width="8.88671875" style="141"/>
  </cols>
  <sheetData>
    <row r="1" spans="1:2" ht="26.4" customHeight="1">
      <c r="A1" s="143" t="s">
        <v>0</v>
      </c>
      <c r="B1" s="144"/>
    </row>
    <row r="2" spans="1:2" ht="34.200000000000003" customHeight="1">
      <c r="A2" s="142" t="s">
        <v>1</v>
      </c>
      <c r="B2" s="142" t="s">
        <v>2</v>
      </c>
    </row>
    <row r="3" spans="1:2" ht="34.200000000000003" customHeight="1">
      <c r="A3" s="142"/>
      <c r="B3" s="142"/>
    </row>
    <row r="4" spans="1:2" ht="34.200000000000003" customHeight="1">
      <c r="A4" s="142"/>
      <c r="B4" s="142"/>
    </row>
    <row r="5" spans="1:2" ht="34.200000000000003" customHeight="1">
      <c r="A5" s="142"/>
      <c r="B5" s="142"/>
    </row>
    <row r="6" spans="1:2" ht="34.200000000000003" customHeight="1">
      <c r="A6" s="142"/>
      <c r="B6" s="142"/>
    </row>
    <row r="7" spans="1:2" ht="34.200000000000003" customHeight="1">
      <c r="A7" s="142"/>
      <c r="B7" s="142"/>
    </row>
  </sheetData>
  <mergeCells count="1">
    <mergeCell ref="A1:B1"/>
  </mergeCells>
  <phoneticPr fontId="63" type="noConversion"/>
  <pageMargins left="0.7" right="0.7" top="0.75" bottom="0.75" header="0.3" footer="0.3"/>
  <headerFooter>
    <oddHeader>&amp;L&amp;"Aptos"&amp;10&amp;KFF0000 ASUS_Confidential&amp;1#_x000D_</oddHeader>
    <oddFooter>&amp;L_x000D_&amp;1#&amp;"Aptos"&amp;10&amp;KFF0000 ASUS_Confidential</oddFooter>
  </headerFooter>
</worksheet>
</file>

<file path=docMetadata/LabelInfo.xml><?xml version="1.0" encoding="utf-8"?>
<clbl:labelList xmlns:clbl="http://schemas.microsoft.com/office/2020/mipLabelMetadata">
  <clbl:label id="{a4428014-3c0d-4a81-9954-95ff6747ae72}" enabled="1" method="Standard" siteId="{301f59c4-c269-4a66-8a8c-f5daab211fa3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90編碼原則</vt:lpstr>
      <vt:lpstr>89編碼原則</vt:lpstr>
      <vt:lpstr>80 編碼原則</vt:lpstr>
      <vt:lpstr>90 BOM &amp; Catalog Template</vt:lpstr>
      <vt:lpstr>Assign EMS org</vt:lpstr>
      <vt:lpstr>Region &amp; Adapter</vt:lpstr>
      <vt:lpstr>Language</vt:lpstr>
      <vt:lpstr>EMS Org</vt:lpstr>
      <vt:lpstr>外包商代碼</vt:lpstr>
      <vt:lpstr>Channel</vt:lpstr>
      <vt:lpstr>保留碼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Catalog_90IG Template</dc:title>
  <dc:creator>Shawna Cheng(程怡瑄)</dc:creator>
  <cp:lastModifiedBy>Tannie Lo(羅雅丹)</cp:lastModifiedBy>
  <cp:revision>0</cp:revision>
  <cp:lastPrinted>2021-12-15T02:22:33Z</cp:lastPrinted>
  <dcterms:created xsi:type="dcterms:W3CDTF">2012-03-15T00:46:38Z</dcterms:created>
  <dcterms:modified xsi:type="dcterms:W3CDTF">2026-09-04T06:59:23Z</dcterms:modified>
  <dc:language>en-US</dc:language>
</cp:coreProperties>
</file>